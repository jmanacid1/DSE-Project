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b93ff5c25ff7e7/Education/University/PhD_UVM/Courses/202526/Fall/CS5870A_DataScienceI/Project/DSE-Project/Data_Processing/frozen/"/>
    </mc:Choice>
  </mc:AlternateContent>
  <xr:revisionPtr revIDLastSave="149" documentId="13_ncr:1_{01B8DCF3-23D5-416A-8C32-4E3468E2A2E2}" xr6:coauthVersionLast="47" xr6:coauthVersionMax="47" xr10:uidLastSave="{4AF4B5A0-CA5A-4E67-83F9-3541C7A770C5}"/>
  <bookViews>
    <workbookView xWindow="-108" yWindow="-108" windowWidth="23256" windowHeight="13896" xr2:uid="{218B1834-7B9F-496F-8C9E-9ADA66E0F810}"/>
  </bookViews>
  <sheets>
    <sheet name="report_assets" sheetId="2" r:id="rId1"/>
    <sheet name="bis_info" sheetId="1" r:id="rId2"/>
    <sheet name="all_cols" sheetId="5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2" l="1"/>
  <c r="C68" i="5"/>
  <c r="D68" i="5" s="1"/>
  <c r="C67" i="5"/>
  <c r="D67" i="5" s="1"/>
  <c r="C66" i="5"/>
  <c r="D66" i="5" s="1"/>
  <c r="C65" i="5"/>
  <c r="D65" i="5" s="1"/>
  <c r="C64" i="5"/>
  <c r="D64" i="5" s="1"/>
  <c r="C63" i="5"/>
  <c r="D63" i="5" s="1"/>
  <c r="C62" i="5"/>
  <c r="D62" i="5" s="1"/>
  <c r="C61" i="5"/>
  <c r="D61" i="5" s="1"/>
  <c r="C60" i="5"/>
  <c r="D60" i="5" s="1"/>
  <c r="C59" i="5"/>
  <c r="D59" i="5" s="1"/>
  <c r="C58" i="5"/>
  <c r="D58" i="5" s="1"/>
  <c r="C57" i="5"/>
  <c r="D57" i="5" s="1"/>
  <c r="C56" i="5"/>
  <c r="D56" i="5" s="1"/>
  <c r="C55" i="5"/>
  <c r="D55" i="5" s="1"/>
  <c r="C54" i="5"/>
  <c r="D54" i="5" s="1"/>
  <c r="C53" i="5"/>
  <c r="D53" i="5" s="1"/>
  <c r="C52" i="5"/>
  <c r="D52" i="5" s="1"/>
  <c r="C51" i="5"/>
  <c r="D51" i="5" s="1"/>
  <c r="C50" i="5"/>
  <c r="D50" i="5" s="1"/>
  <c r="C49" i="5"/>
  <c r="D49" i="5" s="1"/>
  <c r="C48" i="5"/>
  <c r="D48" i="5" s="1"/>
  <c r="C47" i="5"/>
  <c r="D47" i="5" s="1"/>
  <c r="C46" i="5"/>
  <c r="D46" i="5" s="1"/>
  <c r="C45" i="5"/>
  <c r="D45" i="5" s="1"/>
  <c r="C44" i="5"/>
  <c r="D44" i="5" s="1"/>
  <c r="C43" i="5"/>
  <c r="D43" i="5" s="1"/>
  <c r="C42" i="5"/>
  <c r="D42" i="5" s="1"/>
  <c r="C41" i="5"/>
  <c r="D41" i="5" s="1"/>
  <c r="C40" i="5"/>
  <c r="D40" i="5" s="1"/>
  <c r="C39" i="5"/>
  <c r="D39" i="5" s="1"/>
  <c r="C38" i="5"/>
  <c r="D38" i="5" s="1"/>
  <c r="C37" i="5"/>
  <c r="D37" i="5" s="1"/>
  <c r="C36" i="5"/>
  <c r="D36" i="5" s="1"/>
  <c r="C35" i="5"/>
  <c r="D35" i="5" s="1"/>
  <c r="C34" i="5"/>
  <c r="D34" i="5" s="1"/>
  <c r="C33" i="5"/>
  <c r="D33" i="5" s="1"/>
  <c r="C32" i="5"/>
  <c r="D32" i="5" s="1"/>
  <c r="C31" i="5"/>
  <c r="D31" i="5" s="1"/>
  <c r="C30" i="5"/>
  <c r="D30" i="5" s="1"/>
  <c r="C29" i="5"/>
  <c r="D29" i="5" s="1"/>
  <c r="C28" i="5"/>
  <c r="D28" i="5" s="1"/>
  <c r="C27" i="5"/>
  <c r="D27" i="5" s="1"/>
  <c r="C26" i="5"/>
  <c r="D26" i="5" s="1"/>
  <c r="C25" i="5"/>
  <c r="D25" i="5" s="1"/>
  <c r="C24" i="5"/>
  <c r="D24" i="5" s="1"/>
  <c r="C23" i="5"/>
  <c r="D23" i="5" s="1"/>
  <c r="C22" i="5"/>
  <c r="D22" i="5" s="1"/>
  <c r="C21" i="5"/>
  <c r="D21" i="5" s="1"/>
  <c r="C20" i="5"/>
  <c r="D20" i="5" s="1"/>
  <c r="C19" i="5"/>
  <c r="D19" i="5" s="1"/>
  <c r="C18" i="5"/>
  <c r="D18" i="5" s="1"/>
  <c r="C17" i="5"/>
  <c r="D17" i="5" s="1"/>
  <c r="C16" i="5"/>
  <c r="D16" i="5" s="1"/>
  <c r="C15" i="5"/>
  <c r="D15" i="5" s="1"/>
  <c r="C14" i="5"/>
  <c r="D14" i="5" s="1"/>
  <c r="C13" i="5"/>
  <c r="D13" i="5" s="1"/>
  <c r="C12" i="5"/>
  <c r="D12" i="5" s="1"/>
  <c r="C11" i="5"/>
  <c r="D11" i="5" s="1"/>
  <c r="C10" i="5"/>
  <c r="D10" i="5" s="1"/>
  <c r="C9" i="5"/>
  <c r="D9" i="5" s="1"/>
  <c r="C8" i="5"/>
  <c r="D8" i="5" s="1"/>
  <c r="C7" i="5"/>
  <c r="D7" i="5" s="1"/>
  <c r="C6" i="5"/>
  <c r="D6" i="5" s="1"/>
  <c r="C5" i="5"/>
  <c r="D5" i="5" s="1"/>
  <c r="C4" i="5"/>
  <c r="D4" i="5" s="1"/>
  <c r="C3" i="5"/>
  <c r="D3" i="5" s="1"/>
  <c r="C2" i="5"/>
  <c r="D2" i="5" s="1"/>
  <c r="C1" i="5"/>
  <c r="D1" i="5" s="1"/>
  <c r="E6" i="2"/>
  <c r="E39" i="2"/>
  <c r="E33" i="2"/>
  <c r="E23" i="2"/>
  <c r="E26" i="2"/>
  <c r="E20" i="2"/>
  <c r="E24" i="2"/>
  <c r="E27" i="2"/>
  <c r="E21" i="2"/>
  <c r="E28" i="2"/>
  <c r="E25" i="2"/>
  <c r="E22" i="2"/>
  <c r="E36" i="2"/>
  <c r="E5" i="2"/>
  <c r="E10" i="2"/>
  <c r="E11" i="2"/>
  <c r="E47" i="2"/>
  <c r="E46" i="2"/>
  <c r="E44" i="2"/>
  <c r="E45" i="2"/>
  <c r="E32" i="2"/>
  <c r="E31" i="2"/>
  <c r="E15" i="2"/>
  <c r="E16" i="2"/>
  <c r="E17" i="2"/>
  <c r="E18" i="2"/>
  <c r="E35" i="2"/>
  <c r="E2" i="2"/>
  <c r="E4" i="2"/>
  <c r="E3" i="2"/>
  <c r="E48" i="2"/>
  <c r="E7" i="2"/>
  <c r="E8" i="2"/>
  <c r="E9" i="2"/>
  <c r="E12" i="2"/>
  <c r="E13" i="2"/>
  <c r="E49" i="2"/>
  <c r="E42" i="2"/>
  <c r="E43" i="2"/>
  <c r="E41" i="2"/>
  <c r="E37" i="2"/>
  <c r="E29" i="2"/>
  <c r="E30" i="2"/>
  <c r="E14" i="2"/>
  <c r="E38" i="2"/>
  <c r="E19" i="2"/>
  <c r="E34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2" i="1"/>
</calcChain>
</file>

<file path=xl/sharedStrings.xml><?xml version="1.0" encoding="utf-8"?>
<sst xmlns="http://schemas.openxmlformats.org/spreadsheetml/2006/main" count="402" uniqueCount="197">
  <si>
    <t>Claims on sovereigns</t>
  </si>
  <si>
    <t>AAA to AA-</t>
  </si>
  <si>
    <t>A+ to A-</t>
  </si>
  <si>
    <t>BBB+ to BBB-</t>
  </si>
  <si>
    <t>BB+ to B-</t>
  </si>
  <si>
    <t>Below B-</t>
  </si>
  <si>
    <t>Macro_component</t>
  </si>
  <si>
    <t>Risk_associated</t>
  </si>
  <si>
    <t>Weight</t>
  </si>
  <si>
    <t>Unrated</t>
  </si>
  <si>
    <t>Claims on BIS, IMF, ECB, EC, MDBs</t>
  </si>
  <si>
    <t>-</t>
  </si>
  <si>
    <t>Claims on banks (rated)</t>
  </si>
  <si>
    <t>Claims on banks (unrated)</t>
  </si>
  <si>
    <t>Claims on corporates (rated)</t>
  </si>
  <si>
    <t>Claims on corporates (unrated)</t>
  </si>
  <si>
    <t>Claims secured by residential property</t>
  </si>
  <si>
    <t>Claims secured by commercial real estate</t>
  </si>
  <si>
    <t>Retail claims</t>
  </si>
  <si>
    <t>Past-due loans</t>
  </si>
  <si>
    <t>90 days+</t>
  </si>
  <si>
    <t>High-risk claims</t>
  </si>
  <si>
    <t>Claims on institutions and corporates with short-term rating</t>
  </si>
  <si>
    <t>A-1/P-1</t>
  </si>
  <si>
    <t>A-2/P-2</t>
  </si>
  <si>
    <t>A-3/P-3</t>
  </si>
  <si>
    <t>Below A-3/P-3</t>
  </si>
  <si>
    <t>Claims secured by cash or gold</t>
  </si>
  <si>
    <t>Covered bonds_min</t>
  </si>
  <si>
    <t>Covered bonds_max</t>
  </si>
  <si>
    <t>comment</t>
  </si>
  <si>
    <t>depend on jurisdication</t>
  </si>
  <si>
    <t>SP</t>
  </si>
  <si>
    <t>LP</t>
  </si>
  <si>
    <t>Cash and due from depository institutions (5993)</t>
  </si>
  <si>
    <t>Securities (0390)</t>
  </si>
  <si>
    <t>Loans and leases, held for investment and held for sale, net of the allowance (item 3.a minus 3.b). (2723)</t>
  </si>
  <si>
    <t>Other assets (0027)</t>
  </si>
  <si>
    <t>Balances due from related nonbank companies (other than investments)5 (3620)</t>
  </si>
  <si>
    <t>Cash and balances due from depository institutions: a. Balances with subsidiary or affiliated depository institutions (5993)</t>
  </si>
  <si>
    <t>Cash and balances due from depository institutions: b. Balances with unrelated depository institutions (0010)</t>
  </si>
  <si>
    <t>Securities: U.S. Treasury securities (0400)</t>
  </si>
  <si>
    <t>Securities: b. Securities of U.S. Government agencies and corporations and securities issued by states and political subdivisions (6791)</t>
  </si>
  <si>
    <t>Securities: c. Other debt and equity securities (1299)</t>
  </si>
  <si>
    <t>Securities purchased under agreements to resell (0277)</t>
  </si>
  <si>
    <t>f. Loans and leases, held for investment and held for sale, net of allowance (sum of items 4.c and 4.d minus item 4.e) (2125)</t>
  </si>
  <si>
    <t>Investments in and receivables due from subsidiaries and associated companies (0365)</t>
  </si>
  <si>
    <t>Premises and fixed assets (including right-of-use assets) (2145)</t>
  </si>
  <si>
    <t>Other assets (2160)</t>
  </si>
  <si>
    <t>TOTAL ASSETS (sum of items 1.a through 3, and 4.f minus 9.c above) (2170)</t>
  </si>
  <si>
    <t>Securities: Held-to-maturity securities (from Schedule HC-B, column A) (1754)</t>
  </si>
  <si>
    <t>Securities: Available-for-sale securities (from Schedule HC-B, column D) (1773)</t>
  </si>
  <si>
    <t>Securities: Equity securities with readily determinable fair values not held for trading (JA22)</t>
  </si>
  <si>
    <t>Federal funds sold and securities purchased under agreements to resell: Federal funds sold in domestic offices (B987)</t>
  </si>
  <si>
    <t>Federal funds sold and securities purchased under agreements to resell: Securities purchased under agreements to resell (B989)</t>
  </si>
  <si>
    <t>Loans and lease financing receivables: Loans and leases, held for investment, net of allowance for loan and lease losses (B529)</t>
  </si>
  <si>
    <t>Trading assets (from Schedule HC-D) (3545)</t>
  </si>
  <si>
    <t>Premises and fixed assets (including capitalized leases) (2145)</t>
  </si>
  <si>
    <t>Other real estate owned (from Schedule HC-M) (2150)</t>
  </si>
  <si>
    <t>Investments in unconsolidated subsidiaries and associated companies (2130)</t>
  </si>
  <si>
    <t>Direct and indirect investments in real estate ventures (3656)</t>
  </si>
  <si>
    <t>Intangible assets (from Schedule HC-M) (2143)</t>
  </si>
  <si>
    <t>Other assets (from Schedule HC-F) (2160)</t>
  </si>
  <si>
    <t>Balances due from related institutions, other than investments a. Related banks (3602)</t>
  </si>
  <si>
    <t>Balances due from related institutions, other than investments b. Related nonbank companies (3603)</t>
  </si>
  <si>
    <t>Balances due from related institutions, other than investments c. Related holding companies (3604)</t>
  </si>
  <si>
    <t>Intangible assets (other than reported in item 5 above) a. Goodwill (3163)</t>
  </si>
  <si>
    <t>Intangible assets (other than reported in item 5 above) b. Mortgage servicing assets (3164)</t>
  </si>
  <si>
    <t>Intangible assets (other than reported in item 5 above)c. Other identifiable intangibles (3165)</t>
  </si>
  <si>
    <t>BHCK</t>
  </si>
  <si>
    <t>BHSP</t>
  </si>
  <si>
    <t>BHCP</t>
  </si>
  <si>
    <t>report_type</t>
  </si>
  <si>
    <t>assets_line</t>
  </si>
  <si>
    <t>report_code_partII</t>
  </si>
  <si>
    <t>report_code_partI</t>
  </si>
  <si>
    <t>id_bis</t>
  </si>
  <si>
    <t>id_bis_min</t>
  </si>
  <si>
    <t>id_bis_max</t>
  </si>
  <si>
    <t>BHDM</t>
  </si>
  <si>
    <t>5993</t>
  </si>
  <si>
    <t>0390</t>
  </si>
  <si>
    <t>2723</t>
  </si>
  <si>
    <t>0201</t>
  </si>
  <si>
    <t>0088</t>
  </si>
  <si>
    <t>3239</t>
  </si>
  <si>
    <t>0202</t>
  </si>
  <si>
    <t>0087</t>
  </si>
  <si>
    <t>3238</t>
  </si>
  <si>
    <t>3148</t>
  </si>
  <si>
    <t>0089</t>
  </si>
  <si>
    <t>3523</t>
  </si>
  <si>
    <t>0027</t>
  </si>
  <si>
    <t>3620</t>
  </si>
  <si>
    <t>0010</t>
  </si>
  <si>
    <t>0400</t>
  </si>
  <si>
    <t>6791</t>
  </si>
  <si>
    <t>1299</t>
  </si>
  <si>
    <t>0277</t>
  </si>
  <si>
    <t>0364</t>
  </si>
  <si>
    <t>2125</t>
  </si>
  <si>
    <t>0365</t>
  </si>
  <si>
    <t>2145</t>
  </si>
  <si>
    <t>3163</t>
  </si>
  <si>
    <t>3164</t>
  </si>
  <si>
    <t>3165</t>
  </si>
  <si>
    <t>2160</t>
  </si>
  <si>
    <t>3602</t>
  </si>
  <si>
    <t>3603</t>
  </si>
  <si>
    <t>3604</t>
  </si>
  <si>
    <t>2170</t>
  </si>
  <si>
    <t>0081</t>
  </si>
  <si>
    <t>0395</t>
  </si>
  <si>
    <t>0397</t>
  </si>
  <si>
    <t>1754</t>
  </si>
  <si>
    <t>1773</t>
  </si>
  <si>
    <t>JA22</t>
  </si>
  <si>
    <t>B987</t>
  </si>
  <si>
    <t>B989</t>
  </si>
  <si>
    <t>B529</t>
  </si>
  <si>
    <t>3545</t>
  </si>
  <si>
    <t>2150</t>
  </si>
  <si>
    <t>2130</t>
  </si>
  <si>
    <t>3656</t>
  </si>
  <si>
    <t>2143</t>
  </si>
  <si>
    <t>4485</t>
  </si>
  <si>
    <t>0536</t>
  </si>
  <si>
    <t>0203</t>
  </si>
  <si>
    <t>3621</t>
  </si>
  <si>
    <t>3605</t>
  </si>
  <si>
    <t>JJ33</t>
  </si>
  <si>
    <t>4093</t>
  </si>
  <si>
    <t>4230</t>
  </si>
  <si>
    <t>4250</t>
  </si>
  <si>
    <t>4301</t>
  </si>
  <si>
    <t>3210</t>
  </si>
  <si>
    <t>G105</t>
  </si>
  <si>
    <t>BHCT</t>
  </si>
  <si>
    <t>col_name</t>
  </si>
  <si>
    <t>Investment in subsidiary holding company(ies): Equity investment (0201)</t>
  </si>
  <si>
    <t>Investment in nonbank subsidiary(ies): Equity investment (0088)</t>
  </si>
  <si>
    <t>Investment in bank subsidiary(ies): Equity investment (3239)</t>
  </si>
  <si>
    <t>Investment in bank subsidiary(ies): Goodwill (3238)</t>
  </si>
  <si>
    <t>Investment in subsidiary holding company(ies): Goodwill (0202)</t>
  </si>
  <si>
    <t>Investment in nonbank subsidiary(ies): Goodwill (0087)</t>
  </si>
  <si>
    <t>Investment in nonbank subsidiary(ies): Loans and advances to and receivables due from bank subsidiary (3148)</t>
  </si>
  <si>
    <t>Investment in subsidiary holding company(ies): Loans and advances to and receivables due from non bank subsidiary (0089)</t>
  </si>
  <si>
    <t>Investment in bank subsidiary(ies): Loans and advances to and receivables due from subsidiary holding company (3523)</t>
  </si>
  <si>
    <t>Cash and balances due from depository institutions: Interest-bearing balances: In U.S. offices (0395)</t>
  </si>
  <si>
    <t>Cash and balances due from depository institutions: Interest-bearing balances: In foreign offices, Edge and Agreement subsidiaries, and IBFs (0397)</t>
  </si>
  <si>
    <t>Cash and balances due from depository institutions: Noninterest-bearing balances and currency and coin1 (0081)</t>
  </si>
  <si>
    <t>ASSETS_BALANCES_BANKS</t>
  </si>
  <si>
    <t>ASSETS_BALANCES_HOLDINGS</t>
  </si>
  <si>
    <t>ASSETS_BALANCES_NONBANKS</t>
  </si>
  <si>
    <t>ASSETS_CASH</t>
  </si>
  <si>
    <t>ASSETS_CASH_INTERESTBALANCES_DOMESTIC</t>
  </si>
  <si>
    <t>ASSETS_CASH_INTERESTBALANCES_FOREIGN</t>
  </si>
  <si>
    <t>ASSETS_CASH_NONINTERESTBALANCES</t>
  </si>
  <si>
    <t>ASSETS_CASH_SUBSIDIARIES</t>
  </si>
  <si>
    <t>ASSETS_CASH_UNRELATED_INSTITUTION</t>
  </si>
  <si>
    <t>ASSETS_FEDERALFUNDS_DOMESTIC</t>
  </si>
  <si>
    <t>ASSETS_FEDERALFUNDS_RESELL</t>
  </si>
  <si>
    <t>ASSETS_FIXEDASSETS</t>
  </si>
  <si>
    <t>ASSETS_INTANGIBLE_GOODWILL</t>
  </si>
  <si>
    <t>ASSETS_INTANGIBLE_MORTGAGE</t>
  </si>
  <si>
    <t>ASSETS_INTANGIBLE_OTHER</t>
  </si>
  <si>
    <t>ASSETS_INTANGIBLEASSETS</t>
  </si>
  <si>
    <t>ASSETS_INVESTMENT_BANK_SUBSIDIARY_EQUITY</t>
  </si>
  <si>
    <t>ASSETS_INVESTMENT_BANK_SUBSIDIARY_GOODWILL</t>
  </si>
  <si>
    <t>ASSETS_INVESTMENT_BANK_SUBSIDIARY_LOANS</t>
  </si>
  <si>
    <t>ASSETS_INVESTMENT_HOLDINGSUBSIDIARY_EQUITY</t>
  </si>
  <si>
    <t>ASSETS_INVESTMENT_HOLDINGSUBSIDIARY_GOODWILL</t>
  </si>
  <si>
    <t>ASSETS_INVESTMENT_HOLDINGSUBSIDIARY_LOANS</t>
  </si>
  <si>
    <t>ASSETS_INVESTMENT_NONBANKSUBSIDIARY_EQUITY</t>
  </si>
  <si>
    <t>ASSETS_INVESTMENT_NONBANKSUBSIDIARY_GOODWILL</t>
  </si>
  <si>
    <t>ASSETS_INVESTMENT_NONBANKSUBSIDIARY_LOANS</t>
  </si>
  <si>
    <t>ASSETS_INVESTMENTS_REALESTATE</t>
  </si>
  <si>
    <t>ASSETS_INVESTMENTS_SUBSIDIARIES</t>
  </si>
  <si>
    <t>ASSETS_INVESTMENTSRECEIVABLES_SUBSIDIARIES</t>
  </si>
  <si>
    <t>ASSETS_LOANS</t>
  </si>
  <si>
    <t>ASSETS_OTHER</t>
  </si>
  <si>
    <t>ASSETS_OTHERASSETS</t>
  </si>
  <si>
    <t>ASSETS_OTHERREALESTATE</t>
  </si>
  <si>
    <t>ASSETS_SECURITIES</t>
  </si>
  <si>
    <t>ASSETS_SECURITIES_AVAILABLESALE</t>
  </si>
  <si>
    <t>ASSETS_SECURITIES_HELDTOMATURITY</t>
  </si>
  <si>
    <t>ASSETS_SECURITIES_NOTFORTRADING</t>
  </si>
  <si>
    <t>ASSETS_SECURITIES_OTHER</t>
  </si>
  <si>
    <t>ASSETS_SECURITIES_SELL</t>
  </si>
  <si>
    <t>ASSETS_SECURITIES_USGOVERNMENT</t>
  </si>
  <si>
    <t>ASSETS_SECURITIES_USTREASURY</t>
  </si>
  <si>
    <t>ASSETS_TOTALASSETS</t>
  </si>
  <si>
    <t>ASSETS_TRADINGASSETS</t>
  </si>
  <si>
    <t>C</t>
  </si>
  <si>
    <t>Loans and lease financing receivables:  Loans and leases held for sale (5369)</t>
  </si>
  <si>
    <t>ASSETS_LOANSRECEIVABLES_INVESTMENT</t>
  </si>
  <si>
    <t>ASSETS_LOANSRECEIVABLES_SALE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</si>
</sst>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4"/>
      <name val="Aptos Display"/>
      <family val="2"/>
      <scheme val="major"/>
    </font>
    <font>
      <sz val="12"/>
      <name val="Aptos Display"/>
      <family val="2"/>
      <scheme val="major"/>
    </font>
    <font>
      <b/>
      <sz val="11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color rgb="FF00800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9" fontId="5" fillId="0" borderId="0" xfId="0" applyNumberFormat="1" applyFont="1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Aptos Display"/>
        <family val="2"/>
        <scheme val="major"/>
      </font>
      <alignment horizontal="general" vertical="center" textRotation="0" wrapText="0" indent="0" justifyLastLine="0" shrinkToFit="0" readingOrder="0"/>
    </dxf>
    <dxf>
      <numFmt numFmtId="13" formatCode="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color theme="4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Aptos Display"/>
        <family val="2"/>
        <scheme val="maj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4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4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fb93ff5c25ff7e7/Education/University/PhD_UVM/Courses/202526/Fall/CS5870A_DataScienceI/Project/DSE-Project/Data_Processing/frozen/Financial_Download_Dictionary.xlsx" TargetMode="External"/><Relationship Id="rId1" Type="http://schemas.openxmlformats.org/officeDocument/2006/relationships/externalLinkPath" Target="Financial_Download_Diction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DRM codes in datasets"/>
      <sheetName val="Financial"/>
      <sheetName val="Structure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331A8A-DC34-47B0-B054-0A3D27193316}" name="Table1" displayName="Table1" ref="A1:G49" totalsRowShown="0" dataDxfId="12">
  <autoFilter ref="A1:G49" xr:uid="{E5331A8A-DC34-47B0-B054-0A3D27193316}"/>
  <sortState xmlns:xlrd2="http://schemas.microsoft.com/office/spreadsheetml/2017/richdata2" ref="A7:G49">
    <sortCondition ref="E1:E49"/>
  </sortState>
  <tableColumns count="7">
    <tableColumn id="1" xr3:uid="{6A60AA0B-559A-4DF8-B4B5-2D5DD271A747}" name="report_type" dataDxfId="11"/>
    <tableColumn id="4" xr3:uid="{28D31664-E05A-4465-84FC-48FC86A2A66B}" name="report_code_partI" dataDxfId="10"/>
    <tableColumn id="7" xr3:uid="{1DA1148A-4DEF-4B5C-ADCC-DC0A24E94E6E}" name="col_name" dataDxfId="9"/>
    <tableColumn id="2" xr3:uid="{5ABA92C3-CB65-4A42-96AF-DA88BCD5CA1A}" name="assets_line" dataDxfId="2"/>
    <tableColumn id="3" xr3:uid="{CBAF4344-FA45-44CD-8CD1-1F670106C1B0}" name="report_code_partII" dataDxfId="0">
      <calculatedColumnFormula>SUBSTITUTE(SUBSTITUTE(RIGHT(D2,6),"(",""),")","")</calculatedColumnFormula>
    </tableColumn>
    <tableColumn id="5" xr3:uid="{BE84EEA7-9AFE-46CD-A511-713D50D0FDE5}" name="id_bis_min" dataDxfId="1"/>
    <tableColumn id="6" xr3:uid="{161ACB79-2F49-4925-AF3E-DD16ED25C7F2}" name="id_bis_max" dataDxfId="8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B320E7-A662-4A18-B630-CFC166DF034F}" name="Table2" displayName="Table2" ref="A1:E32" totalsRowShown="0" headerRowDxfId="7">
  <autoFilter ref="A1:E32" xr:uid="{48B320E7-A662-4A18-B630-CFC166DF034F}"/>
  <tableColumns count="5">
    <tableColumn id="1" xr3:uid="{2DE1F72B-A072-4E85-BFC1-0DE3C355DC13}" name="id_bis" dataDxfId="6">
      <calculatedColumnFormula>IFERROR(A1+1,1)</calculatedColumnFormula>
    </tableColumn>
    <tableColumn id="2" xr3:uid="{F902D440-CEE7-4566-80B5-AEC4B1964B53}" name="Macro_component" dataDxfId="5"/>
    <tableColumn id="3" xr3:uid="{A6F9D0EF-DB46-40E8-A5CD-A966EAD19261}" name="Risk_associated" dataDxfId="4"/>
    <tableColumn id="4" xr3:uid="{884DB71E-6E72-462D-B033-EB4B6272D14F}" name="Weight" dataDxfId="3"/>
    <tableColumn id="5" xr3:uid="{6772E305-2897-4E20-8D3A-A64046841616}" name="commen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7095-C47E-4B41-872D-3783DBDB9E73}">
  <dimension ref="A1:G84"/>
  <sheetViews>
    <sheetView tabSelected="1" workbookViewId="0">
      <selection activeCell="D2" sqref="D2"/>
    </sheetView>
  </sheetViews>
  <sheetFormatPr defaultRowHeight="14.4" x14ac:dyDescent="0.3"/>
  <cols>
    <col min="1" max="2" width="10.33203125" customWidth="1"/>
    <col min="3" max="3" width="37.88671875" bestFit="1" customWidth="1"/>
    <col min="4" max="4" width="109.21875" bestFit="1" customWidth="1"/>
    <col min="5" max="5" width="10.33203125" customWidth="1"/>
  </cols>
  <sheetData>
    <row r="1" spans="1:7" x14ac:dyDescent="0.3">
      <c r="A1" t="s">
        <v>72</v>
      </c>
      <c r="B1" t="s">
        <v>75</v>
      </c>
      <c r="C1" t="s">
        <v>138</v>
      </c>
      <c r="D1" t="s">
        <v>73</v>
      </c>
      <c r="E1" t="s">
        <v>74</v>
      </c>
      <c r="F1" t="s">
        <v>77</v>
      </c>
      <c r="G1" t="s">
        <v>78</v>
      </c>
    </row>
    <row r="2" spans="1:7" ht="15.6" x14ac:dyDescent="0.3">
      <c r="A2" s="3" t="s">
        <v>33</v>
      </c>
      <c r="B2" s="1" t="s">
        <v>71</v>
      </c>
      <c r="C2" s="1" t="s">
        <v>151</v>
      </c>
      <c r="D2" s="1" t="s">
        <v>63</v>
      </c>
      <c r="E2" s="15" t="str">
        <f t="shared" ref="E2:E6" si="0">SUBSTITUTE(SUBSTITUTE(RIGHT(D2,6),"(",""),")","")</f>
        <v>3602</v>
      </c>
      <c r="F2" s="2">
        <v>8</v>
      </c>
      <c r="G2" s="2">
        <v>13</v>
      </c>
    </row>
    <row r="3" spans="1:7" ht="15.6" x14ac:dyDescent="0.3">
      <c r="A3" s="3" t="s">
        <v>33</v>
      </c>
      <c r="B3" s="1" t="s">
        <v>71</v>
      </c>
      <c r="C3" s="1" t="s">
        <v>152</v>
      </c>
      <c r="D3" s="1" t="s">
        <v>65</v>
      </c>
      <c r="E3" s="15" t="str">
        <f t="shared" si="0"/>
        <v>3604</v>
      </c>
      <c r="F3" s="2">
        <v>14</v>
      </c>
      <c r="G3" s="2">
        <v>19</v>
      </c>
    </row>
    <row r="4" spans="1:7" ht="15.6" x14ac:dyDescent="0.3">
      <c r="A4" s="3" t="s">
        <v>33</v>
      </c>
      <c r="B4" s="1" t="s">
        <v>71</v>
      </c>
      <c r="C4" s="1" t="s">
        <v>153</v>
      </c>
      <c r="D4" s="1" t="s">
        <v>64</v>
      </c>
      <c r="E4" s="15" t="str">
        <f t="shared" si="0"/>
        <v>3603</v>
      </c>
      <c r="F4" s="2">
        <v>14</v>
      </c>
      <c r="G4" s="2">
        <v>19</v>
      </c>
    </row>
    <row r="5" spans="1:7" ht="15.6" x14ac:dyDescent="0.3">
      <c r="A5" s="3" t="s">
        <v>32</v>
      </c>
      <c r="B5" s="1" t="s">
        <v>70</v>
      </c>
      <c r="C5" s="1" t="s">
        <v>153</v>
      </c>
      <c r="D5" s="1" t="s">
        <v>38</v>
      </c>
      <c r="E5" s="15" t="str">
        <f t="shared" si="0"/>
        <v>3620</v>
      </c>
      <c r="F5" s="2">
        <v>14</v>
      </c>
      <c r="G5" s="2">
        <v>19</v>
      </c>
    </row>
    <row r="6" spans="1:7" ht="15.6" x14ac:dyDescent="0.3">
      <c r="A6" s="1" t="s">
        <v>32</v>
      </c>
      <c r="B6" s="1" t="s">
        <v>70</v>
      </c>
      <c r="C6" s="1" t="s">
        <v>154</v>
      </c>
      <c r="D6" s="1" t="s">
        <v>34</v>
      </c>
      <c r="E6" s="15" t="str">
        <f t="shared" si="0"/>
        <v>5993</v>
      </c>
      <c r="F6" s="2">
        <v>8</v>
      </c>
      <c r="G6" s="2">
        <v>13</v>
      </c>
    </row>
    <row r="7" spans="1:7" ht="15.6" x14ac:dyDescent="0.3">
      <c r="A7" s="1" t="s">
        <v>193</v>
      </c>
      <c r="B7" s="1" t="s">
        <v>69</v>
      </c>
      <c r="C7" s="1" t="s">
        <v>157</v>
      </c>
      <c r="D7" s="1" t="s">
        <v>150</v>
      </c>
      <c r="E7" s="15" t="str">
        <f t="shared" ref="E7:E49" si="1">SUBSTITUTE(SUBSTITUTE(RIGHT(D7,6),"(",""),")","")</f>
        <v>0081</v>
      </c>
      <c r="F7" s="2">
        <v>31</v>
      </c>
      <c r="G7" s="2">
        <v>31</v>
      </c>
    </row>
    <row r="8" spans="1:7" ht="15.6" x14ac:dyDescent="0.3">
      <c r="A8" s="3" t="s">
        <v>193</v>
      </c>
      <c r="B8" s="1" t="s">
        <v>69</v>
      </c>
      <c r="C8" s="1" t="s">
        <v>155</v>
      </c>
      <c r="D8" s="1" t="s">
        <v>148</v>
      </c>
      <c r="E8" s="15" t="str">
        <f t="shared" si="1"/>
        <v>0395</v>
      </c>
      <c r="F8" s="2">
        <v>8</v>
      </c>
      <c r="G8" s="2">
        <v>13</v>
      </c>
    </row>
    <row r="9" spans="1:7" ht="15.6" x14ac:dyDescent="0.3">
      <c r="A9" s="3" t="s">
        <v>193</v>
      </c>
      <c r="B9" s="1" t="s">
        <v>69</v>
      </c>
      <c r="C9" s="1" t="s">
        <v>156</v>
      </c>
      <c r="D9" s="1" t="s">
        <v>149</v>
      </c>
      <c r="E9" s="15" t="str">
        <f t="shared" si="1"/>
        <v>0397</v>
      </c>
      <c r="F9" s="2">
        <v>8</v>
      </c>
      <c r="G9" s="2">
        <v>13</v>
      </c>
    </row>
    <row r="10" spans="1:7" ht="15.6" x14ac:dyDescent="0.3">
      <c r="A10" s="1" t="s">
        <v>33</v>
      </c>
      <c r="B10" s="1" t="s">
        <v>71</v>
      </c>
      <c r="C10" s="1" t="s">
        <v>158</v>
      </c>
      <c r="D10" s="1" t="s">
        <v>39</v>
      </c>
      <c r="E10" s="15" t="str">
        <f t="shared" si="1"/>
        <v>5993</v>
      </c>
      <c r="F10" s="2">
        <v>8</v>
      </c>
      <c r="G10" s="2">
        <v>13</v>
      </c>
    </row>
    <row r="11" spans="1:7" ht="15.6" x14ac:dyDescent="0.3">
      <c r="A11" s="3" t="s">
        <v>33</v>
      </c>
      <c r="B11" s="1" t="s">
        <v>71</v>
      </c>
      <c r="C11" s="1" t="s">
        <v>159</v>
      </c>
      <c r="D11" s="1" t="s">
        <v>40</v>
      </c>
      <c r="E11" s="15" t="str">
        <f t="shared" si="1"/>
        <v>0010</v>
      </c>
      <c r="F11" s="2">
        <v>8</v>
      </c>
      <c r="G11" s="2">
        <v>13</v>
      </c>
    </row>
    <row r="12" spans="1:7" ht="15.6" x14ac:dyDescent="0.3">
      <c r="A12" s="3" t="s">
        <v>193</v>
      </c>
      <c r="B12" s="1" t="s">
        <v>69</v>
      </c>
      <c r="C12" s="1" t="s">
        <v>185</v>
      </c>
      <c r="D12" s="1" t="s">
        <v>50</v>
      </c>
      <c r="E12" s="15" t="str">
        <f t="shared" si="1"/>
        <v>1754</v>
      </c>
      <c r="F12" s="2">
        <v>14</v>
      </c>
      <c r="G12" s="2">
        <v>19</v>
      </c>
    </row>
    <row r="13" spans="1:7" ht="15.6" x14ac:dyDescent="0.3">
      <c r="A13" s="3" t="s">
        <v>193</v>
      </c>
      <c r="B13" s="1" t="s">
        <v>69</v>
      </c>
      <c r="C13" s="1" t="s">
        <v>184</v>
      </c>
      <c r="D13" s="1" t="s">
        <v>51</v>
      </c>
      <c r="E13" s="15" t="str">
        <f t="shared" si="1"/>
        <v>1773</v>
      </c>
      <c r="F13" s="2">
        <v>14</v>
      </c>
      <c r="G13" s="2">
        <v>19</v>
      </c>
    </row>
    <row r="14" spans="1:7" ht="15.6" x14ac:dyDescent="0.3">
      <c r="A14" s="3" t="s">
        <v>193</v>
      </c>
      <c r="B14" s="1" t="s">
        <v>69</v>
      </c>
      <c r="C14" s="1" t="s">
        <v>177</v>
      </c>
      <c r="D14" s="1" t="s">
        <v>59</v>
      </c>
      <c r="E14" s="15" t="str">
        <f t="shared" si="1"/>
        <v>2130</v>
      </c>
      <c r="F14" s="2">
        <v>24</v>
      </c>
      <c r="G14" s="2">
        <v>24</v>
      </c>
    </row>
    <row r="15" spans="1:7" ht="15.6" x14ac:dyDescent="0.3">
      <c r="A15" s="3" t="s">
        <v>33</v>
      </c>
      <c r="B15" s="1" t="s">
        <v>71</v>
      </c>
      <c r="C15" s="1" t="s">
        <v>162</v>
      </c>
      <c r="D15" s="1" t="s">
        <v>47</v>
      </c>
      <c r="E15" s="15" t="str">
        <f t="shared" si="1"/>
        <v>2145</v>
      </c>
      <c r="F15" s="2">
        <v>24</v>
      </c>
      <c r="G15" s="2">
        <v>24</v>
      </c>
    </row>
    <row r="16" spans="1:7" ht="15.6" x14ac:dyDescent="0.3">
      <c r="A16" s="3" t="s">
        <v>33</v>
      </c>
      <c r="B16" s="1" t="s">
        <v>71</v>
      </c>
      <c r="C16" s="1" t="s">
        <v>163</v>
      </c>
      <c r="D16" s="1" t="s">
        <v>66</v>
      </c>
      <c r="E16" s="15" t="str">
        <f t="shared" si="1"/>
        <v>3163</v>
      </c>
      <c r="F16" s="2">
        <v>24</v>
      </c>
      <c r="G16" s="2">
        <v>24</v>
      </c>
    </row>
    <row r="17" spans="1:7" ht="15.6" x14ac:dyDescent="0.3">
      <c r="A17" s="3" t="s">
        <v>33</v>
      </c>
      <c r="B17" s="1" t="s">
        <v>71</v>
      </c>
      <c r="C17" s="1" t="s">
        <v>164</v>
      </c>
      <c r="D17" s="1" t="s">
        <v>67</v>
      </c>
      <c r="E17" s="15" t="str">
        <f t="shared" si="1"/>
        <v>3164</v>
      </c>
      <c r="F17" s="2">
        <v>24</v>
      </c>
      <c r="G17" s="2">
        <v>24</v>
      </c>
    </row>
    <row r="18" spans="1:7" ht="15.6" x14ac:dyDescent="0.3">
      <c r="A18" s="3" t="s">
        <v>33</v>
      </c>
      <c r="B18" s="1" t="s">
        <v>71</v>
      </c>
      <c r="C18" s="1" t="s">
        <v>165</v>
      </c>
      <c r="D18" s="1" t="s">
        <v>68</v>
      </c>
      <c r="E18" s="15" t="str">
        <f t="shared" si="1"/>
        <v>3165</v>
      </c>
      <c r="F18" s="2">
        <v>24</v>
      </c>
      <c r="G18" s="2">
        <v>24</v>
      </c>
    </row>
    <row r="19" spans="1:7" ht="15.6" x14ac:dyDescent="0.3">
      <c r="A19" s="3" t="s">
        <v>193</v>
      </c>
      <c r="B19" s="1" t="s">
        <v>69</v>
      </c>
      <c r="C19" s="1" t="s">
        <v>166</v>
      </c>
      <c r="D19" s="1" t="s">
        <v>61</v>
      </c>
      <c r="E19" s="15" t="str">
        <f t="shared" si="1"/>
        <v>2143</v>
      </c>
      <c r="F19" s="2">
        <v>24</v>
      </c>
      <c r="G19" s="2">
        <v>24</v>
      </c>
    </row>
    <row r="20" spans="1:7" ht="15.6" x14ac:dyDescent="0.3">
      <c r="A20" s="3" t="s">
        <v>32</v>
      </c>
      <c r="B20" s="1" t="s">
        <v>70</v>
      </c>
      <c r="C20" s="1" t="s">
        <v>167</v>
      </c>
      <c r="D20" s="1" t="s">
        <v>141</v>
      </c>
      <c r="E20" s="15" t="str">
        <f t="shared" si="1"/>
        <v>3239</v>
      </c>
      <c r="F20" s="2">
        <v>24</v>
      </c>
      <c r="G20" s="2">
        <v>24</v>
      </c>
    </row>
    <row r="21" spans="1:7" ht="15.6" x14ac:dyDescent="0.3">
      <c r="A21" s="3" t="s">
        <v>32</v>
      </c>
      <c r="B21" s="1" t="s">
        <v>70</v>
      </c>
      <c r="C21" s="1" t="s">
        <v>168</v>
      </c>
      <c r="D21" s="1" t="s">
        <v>142</v>
      </c>
      <c r="E21" s="15" t="str">
        <f t="shared" si="1"/>
        <v>3238</v>
      </c>
      <c r="F21" s="2">
        <v>24</v>
      </c>
      <c r="G21" s="2">
        <v>24</v>
      </c>
    </row>
    <row r="22" spans="1:7" ht="15.6" x14ac:dyDescent="0.3">
      <c r="A22" s="3" t="s">
        <v>32</v>
      </c>
      <c r="B22" s="1" t="s">
        <v>70</v>
      </c>
      <c r="C22" s="1" t="s">
        <v>169</v>
      </c>
      <c r="D22" s="1" t="s">
        <v>147</v>
      </c>
      <c r="E22" s="15" t="str">
        <f t="shared" si="1"/>
        <v>3523</v>
      </c>
      <c r="F22" s="2">
        <v>20</v>
      </c>
      <c r="G22" s="2">
        <v>22</v>
      </c>
    </row>
    <row r="23" spans="1:7" ht="15.6" x14ac:dyDescent="0.3">
      <c r="A23" s="3" t="s">
        <v>32</v>
      </c>
      <c r="B23" s="1" t="s">
        <v>70</v>
      </c>
      <c r="C23" s="1" t="s">
        <v>170</v>
      </c>
      <c r="D23" s="1" t="s">
        <v>139</v>
      </c>
      <c r="E23" s="15" t="str">
        <f t="shared" si="1"/>
        <v>0201</v>
      </c>
      <c r="F23" s="2">
        <v>24</v>
      </c>
      <c r="G23" s="2">
        <v>24</v>
      </c>
    </row>
    <row r="24" spans="1:7" ht="15.6" x14ac:dyDescent="0.3">
      <c r="A24" s="3" t="s">
        <v>32</v>
      </c>
      <c r="B24" s="1" t="s">
        <v>70</v>
      </c>
      <c r="C24" s="1" t="s">
        <v>171</v>
      </c>
      <c r="D24" s="1" t="s">
        <v>143</v>
      </c>
      <c r="E24" s="15" t="str">
        <f t="shared" si="1"/>
        <v>0202</v>
      </c>
      <c r="F24" s="2">
        <v>24</v>
      </c>
      <c r="G24" s="2">
        <v>24</v>
      </c>
    </row>
    <row r="25" spans="1:7" ht="15.6" x14ac:dyDescent="0.3">
      <c r="A25" s="3" t="s">
        <v>32</v>
      </c>
      <c r="B25" s="1" t="s">
        <v>70</v>
      </c>
      <c r="C25" s="1" t="s">
        <v>172</v>
      </c>
      <c r="D25" s="1" t="s">
        <v>146</v>
      </c>
      <c r="E25" s="15" t="str">
        <f t="shared" si="1"/>
        <v>0089</v>
      </c>
      <c r="F25" s="2">
        <v>20</v>
      </c>
      <c r="G25" s="2">
        <v>22</v>
      </c>
    </row>
    <row r="26" spans="1:7" ht="15.6" x14ac:dyDescent="0.3">
      <c r="A26" s="3" t="s">
        <v>32</v>
      </c>
      <c r="B26" s="1" t="s">
        <v>70</v>
      </c>
      <c r="C26" s="1" t="s">
        <v>173</v>
      </c>
      <c r="D26" s="1" t="s">
        <v>140</v>
      </c>
      <c r="E26" s="15" t="str">
        <f t="shared" si="1"/>
        <v>0088</v>
      </c>
      <c r="F26" s="2">
        <v>24</v>
      </c>
      <c r="G26" s="2">
        <v>24</v>
      </c>
    </row>
    <row r="27" spans="1:7" ht="15.6" x14ac:dyDescent="0.3">
      <c r="A27" s="3" t="s">
        <v>32</v>
      </c>
      <c r="B27" s="1" t="s">
        <v>70</v>
      </c>
      <c r="C27" s="1" t="s">
        <v>174</v>
      </c>
      <c r="D27" s="1" t="s">
        <v>144</v>
      </c>
      <c r="E27" s="15" t="str">
        <f t="shared" si="1"/>
        <v>0087</v>
      </c>
      <c r="F27" s="2">
        <v>24</v>
      </c>
      <c r="G27" s="2">
        <v>24</v>
      </c>
    </row>
    <row r="28" spans="1:7" ht="15.6" x14ac:dyDescent="0.3">
      <c r="A28" s="3" t="s">
        <v>32</v>
      </c>
      <c r="B28" s="1" t="s">
        <v>70</v>
      </c>
      <c r="C28" s="1" t="s">
        <v>175</v>
      </c>
      <c r="D28" s="1" t="s">
        <v>145</v>
      </c>
      <c r="E28" s="15" t="str">
        <f t="shared" si="1"/>
        <v>3148</v>
      </c>
      <c r="F28" s="2">
        <v>20</v>
      </c>
      <c r="G28" s="2">
        <v>22</v>
      </c>
    </row>
    <row r="29" spans="1:7" ht="15.6" x14ac:dyDescent="0.3">
      <c r="A29" s="3" t="s">
        <v>193</v>
      </c>
      <c r="B29" s="1" t="s">
        <v>69</v>
      </c>
      <c r="C29" s="1" t="s">
        <v>162</v>
      </c>
      <c r="D29" s="1" t="s">
        <v>57</v>
      </c>
      <c r="E29" s="15" t="str">
        <f t="shared" si="1"/>
        <v>2145</v>
      </c>
      <c r="F29" s="2">
        <v>24</v>
      </c>
      <c r="G29" s="2">
        <v>24</v>
      </c>
    </row>
    <row r="30" spans="1:7" ht="15.6" x14ac:dyDescent="0.3">
      <c r="A30" s="3" t="s">
        <v>193</v>
      </c>
      <c r="B30" s="1" t="s">
        <v>69</v>
      </c>
      <c r="C30" s="1" t="s">
        <v>182</v>
      </c>
      <c r="D30" s="1" t="s">
        <v>58</v>
      </c>
      <c r="E30" s="15" t="str">
        <f t="shared" si="1"/>
        <v>2150</v>
      </c>
      <c r="F30" s="2">
        <v>20</v>
      </c>
      <c r="G30" s="2">
        <v>22</v>
      </c>
    </row>
    <row r="31" spans="1:7" ht="15.6" x14ac:dyDescent="0.3">
      <c r="A31" s="3" t="s">
        <v>33</v>
      </c>
      <c r="B31" s="1" t="s">
        <v>71</v>
      </c>
      <c r="C31" s="1" t="s">
        <v>178</v>
      </c>
      <c r="D31" s="1" t="s">
        <v>46</v>
      </c>
      <c r="E31" s="15" t="str">
        <f t="shared" si="1"/>
        <v>0365</v>
      </c>
      <c r="F31" s="2">
        <v>24</v>
      </c>
      <c r="G31" s="2">
        <v>24</v>
      </c>
    </row>
    <row r="32" spans="1:7" ht="15.6" x14ac:dyDescent="0.3">
      <c r="A32" s="3" t="s">
        <v>33</v>
      </c>
      <c r="B32" s="1" t="s">
        <v>71</v>
      </c>
      <c r="C32" s="1" t="s">
        <v>179</v>
      </c>
      <c r="D32" s="1" t="s">
        <v>45</v>
      </c>
      <c r="E32" s="15" t="str">
        <f t="shared" si="1"/>
        <v>2125</v>
      </c>
      <c r="F32" s="2">
        <v>20</v>
      </c>
      <c r="G32" s="2">
        <v>22</v>
      </c>
    </row>
    <row r="33" spans="1:7" ht="15.6" x14ac:dyDescent="0.3">
      <c r="A33" s="3" t="s">
        <v>32</v>
      </c>
      <c r="B33" s="1" t="s">
        <v>70</v>
      </c>
      <c r="C33" s="1" t="s">
        <v>179</v>
      </c>
      <c r="D33" s="1" t="s">
        <v>36</v>
      </c>
      <c r="E33" s="15" t="str">
        <f t="shared" si="1"/>
        <v>2723</v>
      </c>
      <c r="F33" s="2">
        <v>20</v>
      </c>
      <c r="G33" s="2">
        <v>22</v>
      </c>
    </row>
    <row r="34" spans="1:7" ht="15.6" x14ac:dyDescent="0.3">
      <c r="A34" s="3" t="s">
        <v>193</v>
      </c>
      <c r="B34" s="1" t="s">
        <v>69</v>
      </c>
      <c r="C34" s="1" t="s">
        <v>181</v>
      </c>
      <c r="D34" s="1" t="s">
        <v>62</v>
      </c>
      <c r="E34" s="15" t="str">
        <f t="shared" si="1"/>
        <v>2160</v>
      </c>
      <c r="F34" s="2">
        <v>24</v>
      </c>
      <c r="G34" s="2">
        <v>24</v>
      </c>
    </row>
    <row r="35" spans="1:7" ht="15.6" x14ac:dyDescent="0.3">
      <c r="A35" s="3" t="s">
        <v>33</v>
      </c>
      <c r="B35" s="1" t="s">
        <v>71</v>
      </c>
      <c r="C35" s="1" t="s">
        <v>180</v>
      </c>
      <c r="D35" s="1" t="s">
        <v>48</v>
      </c>
      <c r="E35" s="15" t="str">
        <f t="shared" si="1"/>
        <v>2160</v>
      </c>
      <c r="F35" s="2">
        <v>24</v>
      </c>
      <c r="G35" s="2">
        <v>24</v>
      </c>
    </row>
    <row r="36" spans="1:7" ht="15.6" x14ac:dyDescent="0.3">
      <c r="A36" s="3" t="s">
        <v>32</v>
      </c>
      <c r="B36" s="1" t="s">
        <v>70</v>
      </c>
      <c r="C36" s="1" t="s">
        <v>181</v>
      </c>
      <c r="D36" s="1" t="s">
        <v>37</v>
      </c>
      <c r="E36" s="15" t="str">
        <f t="shared" si="1"/>
        <v>0027</v>
      </c>
      <c r="F36" s="2">
        <v>24</v>
      </c>
      <c r="G36" s="2">
        <v>24</v>
      </c>
    </row>
    <row r="37" spans="1:7" ht="15.6" x14ac:dyDescent="0.3">
      <c r="A37" s="3" t="s">
        <v>193</v>
      </c>
      <c r="B37" s="1" t="s">
        <v>69</v>
      </c>
      <c r="C37" s="1" t="s">
        <v>192</v>
      </c>
      <c r="D37" s="1" t="s">
        <v>56</v>
      </c>
      <c r="E37" s="15" t="str">
        <f t="shared" si="1"/>
        <v>3545</v>
      </c>
      <c r="F37" s="2">
        <v>24</v>
      </c>
      <c r="G37" s="2">
        <v>24</v>
      </c>
    </row>
    <row r="38" spans="1:7" ht="15.6" x14ac:dyDescent="0.3">
      <c r="A38" s="3" t="s">
        <v>193</v>
      </c>
      <c r="B38" s="1" t="s">
        <v>69</v>
      </c>
      <c r="C38" s="1" t="s">
        <v>176</v>
      </c>
      <c r="D38" s="1" t="s">
        <v>60</v>
      </c>
      <c r="E38" s="15" t="str">
        <f t="shared" si="1"/>
        <v>3656</v>
      </c>
      <c r="F38" s="2">
        <v>24</v>
      </c>
      <c r="G38" s="2">
        <v>24</v>
      </c>
    </row>
    <row r="39" spans="1:7" ht="15.6" x14ac:dyDescent="0.3">
      <c r="A39" s="3" t="s">
        <v>32</v>
      </c>
      <c r="B39" s="1" t="s">
        <v>70</v>
      </c>
      <c r="C39" s="1" t="s">
        <v>183</v>
      </c>
      <c r="D39" s="1" t="s">
        <v>35</v>
      </c>
      <c r="E39" s="15" t="str">
        <f t="shared" si="1"/>
        <v>0390</v>
      </c>
      <c r="F39" s="2">
        <v>14</v>
      </c>
      <c r="G39" s="2">
        <v>19</v>
      </c>
    </row>
    <row r="40" spans="1:7" ht="15.6" x14ac:dyDescent="0.3">
      <c r="A40" s="3" t="s">
        <v>193</v>
      </c>
      <c r="B40" s="1" t="s">
        <v>69</v>
      </c>
      <c r="C40" s="1" t="s">
        <v>196</v>
      </c>
      <c r="D40" s="1" t="s">
        <v>194</v>
      </c>
      <c r="E40" s="15" t="str">
        <f t="shared" si="1"/>
        <v>5369</v>
      </c>
      <c r="F40" s="2">
        <v>20</v>
      </c>
      <c r="G40" s="2">
        <v>22</v>
      </c>
    </row>
    <row r="41" spans="1:7" ht="15.6" x14ac:dyDescent="0.3">
      <c r="A41" s="3" t="s">
        <v>193</v>
      </c>
      <c r="B41" s="1" t="s">
        <v>69</v>
      </c>
      <c r="C41" s="1" t="s">
        <v>195</v>
      </c>
      <c r="D41" s="1" t="s">
        <v>55</v>
      </c>
      <c r="E41" s="15" t="str">
        <f t="shared" si="1"/>
        <v>B529</v>
      </c>
      <c r="F41" s="2">
        <v>20</v>
      </c>
      <c r="G41" s="2">
        <v>22</v>
      </c>
    </row>
    <row r="42" spans="1:7" ht="15.6" x14ac:dyDescent="0.3">
      <c r="A42" s="3" t="s">
        <v>193</v>
      </c>
      <c r="B42" s="1" t="s">
        <v>79</v>
      </c>
      <c r="C42" s="1" t="s">
        <v>160</v>
      </c>
      <c r="D42" s="1" t="s">
        <v>53</v>
      </c>
      <c r="E42" s="15" t="str">
        <f t="shared" si="1"/>
        <v>B987</v>
      </c>
      <c r="F42" s="2">
        <v>14</v>
      </c>
      <c r="G42" s="2">
        <v>19</v>
      </c>
    </row>
    <row r="43" spans="1:7" ht="15.6" x14ac:dyDescent="0.3">
      <c r="A43" s="3" t="s">
        <v>193</v>
      </c>
      <c r="B43" s="1" t="s">
        <v>69</v>
      </c>
      <c r="C43" s="1" t="s">
        <v>161</v>
      </c>
      <c r="D43" s="1" t="s">
        <v>54</v>
      </c>
      <c r="E43" s="15" t="str">
        <f t="shared" si="1"/>
        <v>B989</v>
      </c>
      <c r="F43" s="2">
        <v>14</v>
      </c>
      <c r="G43" s="2">
        <v>19</v>
      </c>
    </row>
    <row r="44" spans="1:7" ht="15.6" x14ac:dyDescent="0.3">
      <c r="A44" s="3" t="s">
        <v>33</v>
      </c>
      <c r="B44" s="1" t="s">
        <v>71</v>
      </c>
      <c r="C44" s="1" t="s">
        <v>187</v>
      </c>
      <c r="D44" s="1" t="s">
        <v>43</v>
      </c>
      <c r="E44" s="15" t="str">
        <f t="shared" si="1"/>
        <v>1299</v>
      </c>
      <c r="F44" s="2">
        <v>14</v>
      </c>
      <c r="G44" s="2">
        <v>19</v>
      </c>
    </row>
    <row r="45" spans="1:7" ht="15.6" x14ac:dyDescent="0.3">
      <c r="A45" s="3" t="s">
        <v>33</v>
      </c>
      <c r="B45" s="1" t="s">
        <v>71</v>
      </c>
      <c r="C45" s="1" t="s">
        <v>188</v>
      </c>
      <c r="D45" s="1" t="s">
        <v>44</v>
      </c>
      <c r="E45" s="15" t="str">
        <f t="shared" si="1"/>
        <v>0277</v>
      </c>
      <c r="F45" s="2">
        <v>14</v>
      </c>
      <c r="G45" s="2">
        <v>19</v>
      </c>
    </row>
    <row r="46" spans="1:7" ht="15.6" x14ac:dyDescent="0.3">
      <c r="A46" s="3" t="s">
        <v>33</v>
      </c>
      <c r="B46" s="1" t="s">
        <v>71</v>
      </c>
      <c r="C46" s="1" t="s">
        <v>189</v>
      </c>
      <c r="D46" s="1" t="s">
        <v>42</v>
      </c>
      <c r="E46" s="15" t="str">
        <f t="shared" si="1"/>
        <v>6791</v>
      </c>
      <c r="F46" s="2">
        <v>1</v>
      </c>
      <c r="G46" s="2">
        <v>1</v>
      </c>
    </row>
    <row r="47" spans="1:7" ht="15.6" x14ac:dyDescent="0.3">
      <c r="A47" s="3" t="s">
        <v>33</v>
      </c>
      <c r="B47" s="1" t="s">
        <v>71</v>
      </c>
      <c r="C47" s="1" t="s">
        <v>190</v>
      </c>
      <c r="D47" s="1" t="s">
        <v>41</v>
      </c>
      <c r="E47" s="15" t="str">
        <f t="shared" si="1"/>
        <v>0400</v>
      </c>
      <c r="F47" s="2">
        <v>1</v>
      </c>
      <c r="G47" s="2">
        <v>1</v>
      </c>
    </row>
    <row r="48" spans="1:7" ht="15.6" x14ac:dyDescent="0.3">
      <c r="A48" s="3" t="s">
        <v>33</v>
      </c>
      <c r="B48" s="1" t="s">
        <v>71</v>
      </c>
      <c r="C48" s="1" t="s">
        <v>191</v>
      </c>
      <c r="D48" s="1" t="s">
        <v>49</v>
      </c>
      <c r="E48" s="15" t="str">
        <f t="shared" si="1"/>
        <v>2170</v>
      </c>
      <c r="F48" s="2"/>
      <c r="G48" s="2"/>
    </row>
    <row r="49" spans="1:7" ht="15.6" x14ac:dyDescent="0.3">
      <c r="A49" s="3" t="s">
        <v>193</v>
      </c>
      <c r="B49" s="1" t="s">
        <v>69</v>
      </c>
      <c r="C49" s="1" t="s">
        <v>186</v>
      </c>
      <c r="D49" s="1" t="s">
        <v>52</v>
      </c>
      <c r="E49" s="15" t="str">
        <f t="shared" si="1"/>
        <v>JA22</v>
      </c>
      <c r="F49" s="2">
        <v>14</v>
      </c>
      <c r="G49" s="2">
        <v>19</v>
      </c>
    </row>
    <row r="54" spans="1:7" ht="15.6" x14ac:dyDescent="0.3">
      <c r="D54" s="8"/>
      <c r="E54" s="9"/>
    </row>
    <row r="55" spans="1:7" ht="15.6" x14ac:dyDescent="0.3">
      <c r="D55" s="8"/>
      <c r="E55" s="9"/>
    </row>
    <row r="56" spans="1:7" ht="15.6" x14ac:dyDescent="0.3">
      <c r="D56" s="8"/>
      <c r="E56" s="9"/>
    </row>
    <row r="57" spans="1:7" ht="15.6" x14ac:dyDescent="0.3">
      <c r="D57" s="8"/>
      <c r="E57" s="9"/>
    </row>
    <row r="58" spans="1:7" ht="15.6" x14ac:dyDescent="0.3">
      <c r="D58" s="8"/>
      <c r="E58" s="9"/>
    </row>
    <row r="59" spans="1:7" ht="15.6" x14ac:dyDescent="0.3">
      <c r="D59" s="8"/>
      <c r="E59" s="9"/>
    </row>
    <row r="60" spans="1:7" ht="15.6" x14ac:dyDescent="0.3">
      <c r="D60" s="8"/>
      <c r="E60" s="9"/>
    </row>
    <row r="61" spans="1:7" ht="15.6" x14ac:dyDescent="0.3">
      <c r="D61" s="8"/>
      <c r="E61" s="9"/>
    </row>
    <row r="62" spans="1:7" ht="15.6" x14ac:dyDescent="0.3">
      <c r="D62" s="8"/>
      <c r="E62" s="9"/>
    </row>
    <row r="63" spans="1:7" ht="15.6" x14ac:dyDescent="0.3">
      <c r="D63" s="8"/>
      <c r="E63" s="9"/>
    </row>
    <row r="64" spans="1:7" ht="15.6" x14ac:dyDescent="0.3">
      <c r="D64" s="8"/>
      <c r="E64" s="9"/>
    </row>
    <row r="65" spans="4:5" ht="15.6" x14ac:dyDescent="0.3">
      <c r="D65" s="8"/>
      <c r="E65" s="9"/>
    </row>
    <row r="66" spans="4:5" ht="15.6" x14ac:dyDescent="0.3">
      <c r="D66" s="8"/>
      <c r="E66" s="9"/>
    </row>
    <row r="67" spans="4:5" ht="15.6" x14ac:dyDescent="0.3">
      <c r="D67" s="8"/>
      <c r="E67" s="9"/>
    </row>
    <row r="68" spans="4:5" ht="15.6" x14ac:dyDescent="0.3">
      <c r="D68" s="8"/>
      <c r="E68" s="9"/>
    </row>
    <row r="69" spans="4:5" ht="15.6" x14ac:dyDescent="0.3">
      <c r="D69" s="8"/>
      <c r="E69" s="9"/>
    </row>
    <row r="70" spans="4:5" ht="15.6" x14ac:dyDescent="0.3">
      <c r="D70" s="8"/>
      <c r="E70" s="9"/>
    </row>
    <row r="71" spans="4:5" ht="15.6" x14ac:dyDescent="0.3">
      <c r="D71" s="8"/>
      <c r="E71" s="9"/>
    </row>
    <row r="72" spans="4:5" ht="15.6" x14ac:dyDescent="0.3">
      <c r="D72" s="8"/>
      <c r="E72" s="9"/>
    </row>
    <row r="73" spans="4:5" ht="15.6" x14ac:dyDescent="0.3">
      <c r="D73" s="8"/>
      <c r="E73" s="9"/>
    </row>
    <row r="74" spans="4:5" ht="15.6" x14ac:dyDescent="0.3">
      <c r="D74" s="8"/>
      <c r="E74" s="9"/>
    </row>
    <row r="75" spans="4:5" ht="15.6" x14ac:dyDescent="0.3">
      <c r="D75" s="8"/>
      <c r="E75" s="9"/>
    </row>
    <row r="76" spans="4:5" ht="15.6" x14ac:dyDescent="0.3">
      <c r="D76" s="8"/>
      <c r="E76" s="9"/>
    </row>
    <row r="77" spans="4:5" ht="15.6" x14ac:dyDescent="0.3">
      <c r="D77" s="8"/>
      <c r="E77" s="9"/>
    </row>
    <row r="78" spans="4:5" ht="15.6" x14ac:dyDescent="0.3">
      <c r="D78" s="8"/>
      <c r="E78" s="9"/>
    </row>
    <row r="79" spans="4:5" ht="15.6" x14ac:dyDescent="0.3">
      <c r="D79" s="8"/>
      <c r="E79" s="9"/>
    </row>
    <row r="80" spans="4:5" ht="15.6" x14ac:dyDescent="0.3">
      <c r="D80" s="8"/>
      <c r="E80" s="9"/>
    </row>
    <row r="81" spans="4:5" ht="15.6" x14ac:dyDescent="0.3">
      <c r="D81" s="8"/>
      <c r="E81" s="9"/>
    </row>
    <row r="82" spans="4:5" ht="15.6" x14ac:dyDescent="0.3">
      <c r="D82" s="8"/>
      <c r="E82" s="9"/>
    </row>
    <row r="83" spans="4:5" ht="15.6" x14ac:dyDescent="0.3">
      <c r="D83" s="8"/>
      <c r="E83" s="9"/>
    </row>
    <row r="84" spans="4:5" ht="15.6" x14ac:dyDescent="0.3">
      <c r="D84" s="8"/>
      <c r="E84" s="9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966C-BADA-4412-AECC-9D9CB209A88F}">
  <dimension ref="A1:E32"/>
  <sheetViews>
    <sheetView workbookViewId="0">
      <selection activeCell="B32" sqref="B32"/>
    </sheetView>
  </sheetViews>
  <sheetFormatPr defaultRowHeight="14.4" x14ac:dyDescent="0.3"/>
  <cols>
    <col min="1" max="1" width="7.88671875" customWidth="1"/>
    <col min="2" max="2" width="48.88671875" bestFit="1" customWidth="1"/>
    <col min="3" max="3" width="16.33203125" customWidth="1"/>
    <col min="4" max="4" width="30.77734375" bestFit="1" customWidth="1"/>
    <col min="5" max="5" width="10.88671875" customWidth="1"/>
  </cols>
  <sheetData>
    <row r="1" spans="1:5" x14ac:dyDescent="0.3">
      <c r="A1" s="5" t="s">
        <v>76</v>
      </c>
      <c r="B1" s="4" t="s">
        <v>6</v>
      </c>
      <c r="C1" s="4" t="s">
        <v>7</v>
      </c>
      <c r="D1" s="4" t="s">
        <v>8</v>
      </c>
      <c r="E1" s="4" t="s">
        <v>30</v>
      </c>
    </row>
    <row r="2" spans="1:5" x14ac:dyDescent="0.3">
      <c r="A2" s="5">
        <f t="shared" ref="A2:A32" si="0">IFERROR(A1+1,1)</f>
        <v>1</v>
      </c>
      <c r="B2" s="6" t="s">
        <v>0</v>
      </c>
      <c r="C2" s="6" t="s">
        <v>1</v>
      </c>
      <c r="D2" s="7">
        <v>0</v>
      </c>
    </row>
    <row r="3" spans="1:5" x14ac:dyDescent="0.3">
      <c r="A3" s="5">
        <f t="shared" si="0"/>
        <v>2</v>
      </c>
      <c r="B3" s="6" t="s">
        <v>0</v>
      </c>
      <c r="C3" s="6" t="s">
        <v>2</v>
      </c>
      <c r="D3" s="7">
        <v>0.2</v>
      </c>
    </row>
    <row r="4" spans="1:5" x14ac:dyDescent="0.3">
      <c r="A4" s="5">
        <f t="shared" si="0"/>
        <v>3</v>
      </c>
      <c r="B4" s="6" t="s">
        <v>0</v>
      </c>
      <c r="C4" s="6" t="s">
        <v>3</v>
      </c>
      <c r="D4" s="7">
        <v>0.5</v>
      </c>
    </row>
    <row r="5" spans="1:5" x14ac:dyDescent="0.3">
      <c r="A5" s="5">
        <f t="shared" si="0"/>
        <v>4</v>
      </c>
      <c r="B5" s="6" t="s">
        <v>0</v>
      </c>
      <c r="C5" s="6" t="s">
        <v>4</v>
      </c>
      <c r="D5" s="7">
        <v>1</v>
      </c>
    </row>
    <row r="6" spans="1:5" x14ac:dyDescent="0.3">
      <c r="A6" s="5">
        <f t="shared" si="0"/>
        <v>5</v>
      </c>
      <c r="B6" s="6" t="s">
        <v>0</v>
      </c>
      <c r="C6" s="6" t="s">
        <v>5</v>
      </c>
      <c r="D6" s="7">
        <v>1.5</v>
      </c>
    </row>
    <row r="7" spans="1:5" x14ac:dyDescent="0.3">
      <c r="A7" s="5">
        <f t="shared" si="0"/>
        <v>6</v>
      </c>
      <c r="B7" s="6" t="s">
        <v>0</v>
      </c>
      <c r="C7" s="6" t="s">
        <v>9</v>
      </c>
      <c r="D7" s="7">
        <v>1</v>
      </c>
    </row>
    <row r="8" spans="1:5" x14ac:dyDescent="0.3">
      <c r="A8" s="5">
        <f t="shared" si="0"/>
        <v>7</v>
      </c>
      <c r="B8" s="6" t="s">
        <v>10</v>
      </c>
      <c r="C8" s="6" t="s">
        <v>11</v>
      </c>
      <c r="D8" s="7">
        <v>0</v>
      </c>
    </row>
    <row r="9" spans="1:5" x14ac:dyDescent="0.3">
      <c r="A9" s="5">
        <f t="shared" si="0"/>
        <v>8</v>
      </c>
      <c r="B9" s="6" t="s">
        <v>12</v>
      </c>
      <c r="C9" s="6" t="s">
        <v>1</v>
      </c>
      <c r="D9" s="7">
        <v>0.2</v>
      </c>
    </row>
    <row r="10" spans="1:5" x14ac:dyDescent="0.3">
      <c r="A10" s="5">
        <f t="shared" si="0"/>
        <v>9</v>
      </c>
      <c r="B10" s="6" t="s">
        <v>12</v>
      </c>
      <c r="C10" s="6" t="s">
        <v>2</v>
      </c>
      <c r="D10" s="7">
        <v>0.5</v>
      </c>
    </row>
    <row r="11" spans="1:5" x14ac:dyDescent="0.3">
      <c r="A11" s="5">
        <f t="shared" si="0"/>
        <v>10</v>
      </c>
      <c r="B11" s="6" t="s">
        <v>12</v>
      </c>
      <c r="C11" s="6" t="s">
        <v>3</v>
      </c>
      <c r="D11" s="7">
        <v>0.5</v>
      </c>
    </row>
    <row r="12" spans="1:5" x14ac:dyDescent="0.3">
      <c r="A12" s="5">
        <f t="shared" si="0"/>
        <v>11</v>
      </c>
      <c r="B12" s="6" t="s">
        <v>12</v>
      </c>
      <c r="C12" s="6" t="s">
        <v>4</v>
      </c>
      <c r="D12" s="7">
        <v>1</v>
      </c>
    </row>
    <row r="13" spans="1:5" x14ac:dyDescent="0.3">
      <c r="A13" s="5">
        <f t="shared" si="0"/>
        <v>12</v>
      </c>
      <c r="B13" s="6" t="s">
        <v>12</v>
      </c>
      <c r="C13" s="6" t="s">
        <v>5</v>
      </c>
      <c r="D13" s="7">
        <v>1.5</v>
      </c>
    </row>
    <row r="14" spans="1:5" x14ac:dyDescent="0.3">
      <c r="A14" s="5">
        <f t="shared" si="0"/>
        <v>13</v>
      </c>
      <c r="B14" s="6" t="s">
        <v>13</v>
      </c>
      <c r="C14" s="6" t="s">
        <v>11</v>
      </c>
      <c r="D14" s="7">
        <v>1</v>
      </c>
    </row>
    <row r="15" spans="1:5" x14ac:dyDescent="0.3">
      <c r="A15" s="5">
        <f t="shared" si="0"/>
        <v>14</v>
      </c>
      <c r="B15" s="6" t="s">
        <v>14</v>
      </c>
      <c r="C15" s="6" t="s">
        <v>1</v>
      </c>
      <c r="D15" s="7">
        <v>0.2</v>
      </c>
    </row>
    <row r="16" spans="1:5" x14ac:dyDescent="0.3">
      <c r="A16" s="5">
        <f t="shared" si="0"/>
        <v>15</v>
      </c>
      <c r="B16" s="6" t="s">
        <v>14</v>
      </c>
      <c r="C16" s="6" t="s">
        <v>2</v>
      </c>
      <c r="D16" s="7">
        <v>0.5</v>
      </c>
    </row>
    <row r="17" spans="1:5" x14ac:dyDescent="0.3">
      <c r="A17" s="5">
        <f t="shared" si="0"/>
        <v>16</v>
      </c>
      <c r="B17" s="6" t="s">
        <v>14</v>
      </c>
      <c r="C17" s="6" t="s">
        <v>3</v>
      </c>
      <c r="D17" s="7">
        <v>1</v>
      </c>
    </row>
    <row r="18" spans="1:5" x14ac:dyDescent="0.3">
      <c r="A18" s="5">
        <f t="shared" si="0"/>
        <v>17</v>
      </c>
      <c r="B18" s="6" t="s">
        <v>14</v>
      </c>
      <c r="C18" s="6" t="s">
        <v>4</v>
      </c>
      <c r="D18" s="7">
        <v>1</v>
      </c>
    </row>
    <row r="19" spans="1:5" x14ac:dyDescent="0.3">
      <c r="A19" s="5">
        <f t="shared" si="0"/>
        <v>18</v>
      </c>
      <c r="B19" s="6" t="s">
        <v>14</v>
      </c>
      <c r="C19" s="6" t="s">
        <v>5</v>
      </c>
      <c r="D19" s="7">
        <v>1.5</v>
      </c>
    </row>
    <row r="20" spans="1:5" x14ac:dyDescent="0.3">
      <c r="A20" s="5">
        <f t="shared" si="0"/>
        <v>19</v>
      </c>
      <c r="B20" s="6" t="s">
        <v>15</v>
      </c>
      <c r="C20" s="6" t="s">
        <v>11</v>
      </c>
      <c r="D20" s="7">
        <v>1</v>
      </c>
    </row>
    <row r="21" spans="1:5" x14ac:dyDescent="0.3">
      <c r="A21" s="5">
        <f t="shared" si="0"/>
        <v>20</v>
      </c>
      <c r="B21" s="6" t="s">
        <v>16</v>
      </c>
      <c r="C21" s="6" t="s">
        <v>11</v>
      </c>
      <c r="D21" s="7">
        <v>0.35</v>
      </c>
    </row>
    <row r="22" spans="1:5" x14ac:dyDescent="0.3">
      <c r="A22" s="5">
        <f t="shared" si="0"/>
        <v>21</v>
      </c>
      <c r="B22" s="6" t="s">
        <v>17</v>
      </c>
      <c r="C22" s="6" t="s">
        <v>11</v>
      </c>
      <c r="D22" s="7">
        <v>1</v>
      </c>
    </row>
    <row r="23" spans="1:5" x14ac:dyDescent="0.3">
      <c r="A23" s="5">
        <f t="shared" si="0"/>
        <v>22</v>
      </c>
      <c r="B23" s="6" t="s">
        <v>18</v>
      </c>
      <c r="C23" s="6" t="s">
        <v>11</v>
      </c>
      <c r="D23" s="7">
        <v>0.75</v>
      </c>
    </row>
    <row r="24" spans="1:5" x14ac:dyDescent="0.3">
      <c r="A24" s="5">
        <f t="shared" si="0"/>
        <v>23</v>
      </c>
      <c r="B24" s="6" t="s">
        <v>19</v>
      </c>
      <c r="C24" s="6" t="s">
        <v>20</v>
      </c>
      <c r="D24" s="7">
        <v>1.5</v>
      </c>
    </row>
    <row r="25" spans="1:5" x14ac:dyDescent="0.3">
      <c r="A25" s="5">
        <f t="shared" si="0"/>
        <v>24</v>
      </c>
      <c r="B25" s="6" t="s">
        <v>21</v>
      </c>
      <c r="C25" s="6" t="s">
        <v>11</v>
      </c>
      <c r="D25" s="7">
        <v>1.5</v>
      </c>
    </row>
    <row r="26" spans="1:5" x14ac:dyDescent="0.3">
      <c r="A26" s="5">
        <f t="shared" si="0"/>
        <v>25</v>
      </c>
      <c r="B26" s="6" t="s">
        <v>28</v>
      </c>
      <c r="C26" s="6" t="s">
        <v>11</v>
      </c>
      <c r="D26" s="7">
        <v>0.1</v>
      </c>
      <c r="E26" s="5" t="s">
        <v>31</v>
      </c>
    </row>
    <row r="27" spans="1:5" x14ac:dyDescent="0.3">
      <c r="A27" s="5">
        <f t="shared" si="0"/>
        <v>26</v>
      </c>
      <c r="B27" s="6" t="s">
        <v>29</v>
      </c>
      <c r="C27" s="6" t="s">
        <v>11</v>
      </c>
      <c r="D27" s="7">
        <v>0.2</v>
      </c>
      <c r="E27" s="5" t="s">
        <v>31</v>
      </c>
    </row>
    <row r="28" spans="1:5" x14ac:dyDescent="0.3">
      <c r="A28" s="5">
        <f t="shared" si="0"/>
        <v>27</v>
      </c>
      <c r="B28" s="6" t="s">
        <v>22</v>
      </c>
      <c r="C28" s="6" t="s">
        <v>23</v>
      </c>
      <c r="D28" s="7">
        <v>0.2</v>
      </c>
    </row>
    <row r="29" spans="1:5" x14ac:dyDescent="0.3">
      <c r="A29" s="5">
        <f t="shared" si="0"/>
        <v>28</v>
      </c>
      <c r="B29" s="6" t="s">
        <v>22</v>
      </c>
      <c r="C29" s="6" t="s">
        <v>24</v>
      </c>
      <c r="D29" s="7">
        <v>0.5</v>
      </c>
    </row>
    <row r="30" spans="1:5" x14ac:dyDescent="0.3">
      <c r="A30" s="5">
        <f t="shared" si="0"/>
        <v>29</v>
      </c>
      <c r="B30" s="6" t="s">
        <v>22</v>
      </c>
      <c r="C30" s="6" t="s">
        <v>25</v>
      </c>
      <c r="D30" s="7">
        <v>1</v>
      </c>
    </row>
    <row r="31" spans="1:5" x14ac:dyDescent="0.3">
      <c r="A31" s="5">
        <f t="shared" si="0"/>
        <v>30</v>
      </c>
      <c r="B31" s="6" t="s">
        <v>22</v>
      </c>
      <c r="C31" s="6" t="s">
        <v>26</v>
      </c>
      <c r="D31" s="7">
        <v>1.5</v>
      </c>
    </row>
    <row r="32" spans="1:5" x14ac:dyDescent="0.3">
      <c r="A32" s="5">
        <f t="shared" si="0"/>
        <v>31</v>
      </c>
      <c r="B32" s="6" t="s">
        <v>27</v>
      </c>
      <c r="C32" s="6" t="s">
        <v>11</v>
      </c>
      <c r="D32" s="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BBFC-D3CC-45F9-AB44-EB99D1DE0412}">
  <dimension ref="A1:E68"/>
  <sheetViews>
    <sheetView workbookViewId="0">
      <selection activeCell="F28" sqref="F28"/>
    </sheetView>
  </sheetViews>
  <sheetFormatPr defaultRowHeight="14.4" x14ac:dyDescent="0.3"/>
  <sheetData>
    <row r="1" spans="1:5" ht="15.6" x14ac:dyDescent="0.3">
      <c r="A1" s="11" t="s">
        <v>70</v>
      </c>
      <c r="B1" s="12" t="s">
        <v>80</v>
      </c>
      <c r="C1" t="str">
        <f t="shared" ref="C1:C32" si="0">_xlfn.CONCAT(A1:B1)</f>
        <v>BHSP5993</v>
      </c>
      <c r="D1">
        <f>COUNTIFS([1]!Table1[[#All],[MDRM Item]],C1)</f>
        <v>1</v>
      </c>
    </row>
    <row r="2" spans="1:5" ht="15.6" x14ac:dyDescent="0.3">
      <c r="A2" s="11" t="s">
        <v>70</v>
      </c>
      <c r="B2" s="12" t="s">
        <v>81</v>
      </c>
      <c r="C2" t="str">
        <f t="shared" si="0"/>
        <v>BHSP0390</v>
      </c>
      <c r="D2">
        <f>COUNTIFS([1]!Table1[[#All],[MDRM Item]],C2)</f>
        <v>1</v>
      </c>
    </row>
    <row r="3" spans="1:5" ht="15.6" x14ac:dyDescent="0.3">
      <c r="A3" s="11" t="s">
        <v>70</v>
      </c>
      <c r="B3" s="12" t="s">
        <v>82</v>
      </c>
      <c r="C3" t="str">
        <f t="shared" si="0"/>
        <v>BHSP2723</v>
      </c>
      <c r="D3">
        <f>COUNTIFS([1]!Table1[[#All],[MDRM Item]],C3)</f>
        <v>1</v>
      </c>
    </row>
    <row r="4" spans="1:5" ht="15.6" x14ac:dyDescent="0.3">
      <c r="A4" s="11" t="s">
        <v>70</v>
      </c>
      <c r="B4" s="12" t="s">
        <v>83</v>
      </c>
      <c r="C4" t="str">
        <f t="shared" si="0"/>
        <v>BHSP0201</v>
      </c>
      <c r="D4">
        <f>COUNTIFS([1]!Table1[[#All],[MDRM Item]],C4)</f>
        <v>1</v>
      </c>
    </row>
    <row r="5" spans="1:5" ht="15.6" x14ac:dyDescent="0.3">
      <c r="A5" s="11" t="s">
        <v>70</v>
      </c>
      <c r="B5" s="12" t="s">
        <v>84</v>
      </c>
      <c r="C5" t="str">
        <f t="shared" si="0"/>
        <v>BHSP0088</v>
      </c>
      <c r="D5">
        <f>COUNTIFS([1]!Table1[[#All],[MDRM Item]],C5)</f>
        <v>1</v>
      </c>
    </row>
    <row r="6" spans="1:5" ht="15.6" x14ac:dyDescent="0.3">
      <c r="A6" s="11" t="s">
        <v>70</v>
      </c>
      <c r="B6" s="12" t="s">
        <v>85</v>
      </c>
      <c r="C6" t="str">
        <f t="shared" si="0"/>
        <v>BHSP3239</v>
      </c>
      <c r="D6">
        <f>COUNTIFS([1]!Table1[[#All],[MDRM Item]],C6)</f>
        <v>1</v>
      </c>
    </row>
    <row r="7" spans="1:5" ht="15.6" x14ac:dyDescent="0.3">
      <c r="A7" s="11" t="s">
        <v>70</v>
      </c>
      <c r="B7" s="12" t="s">
        <v>86</v>
      </c>
      <c r="C7" t="str">
        <f t="shared" si="0"/>
        <v>BHSP0202</v>
      </c>
      <c r="D7">
        <f>COUNTIFS([1]!Table1[[#All],[MDRM Item]],C7)</f>
        <v>1</v>
      </c>
    </row>
    <row r="8" spans="1:5" ht="15.6" x14ac:dyDescent="0.3">
      <c r="A8" s="11" t="s">
        <v>70</v>
      </c>
      <c r="B8" s="12" t="s">
        <v>87</v>
      </c>
      <c r="C8" t="str">
        <f t="shared" si="0"/>
        <v>BHSP0087</v>
      </c>
      <c r="D8">
        <f>COUNTIFS([1]!Table1[[#All],[MDRM Item]],C8)</f>
        <v>1</v>
      </c>
    </row>
    <row r="9" spans="1:5" ht="15.6" x14ac:dyDescent="0.3">
      <c r="A9" s="11" t="s">
        <v>70</v>
      </c>
      <c r="B9" s="12" t="s">
        <v>88</v>
      </c>
      <c r="C9" t="str">
        <f t="shared" si="0"/>
        <v>BHSP3238</v>
      </c>
      <c r="D9">
        <f>COUNTIFS([1]!Table1[[#All],[MDRM Item]],C9)</f>
        <v>1</v>
      </c>
    </row>
    <row r="10" spans="1:5" ht="15.6" x14ac:dyDescent="0.3">
      <c r="A10" s="11" t="s">
        <v>70</v>
      </c>
      <c r="B10" s="12" t="s">
        <v>89</v>
      </c>
      <c r="C10" t="str">
        <f t="shared" si="0"/>
        <v>BHSP3148</v>
      </c>
      <c r="D10">
        <f>COUNTIFS([1]!Table1[[#All],[MDRM Item]],C10)</f>
        <v>1</v>
      </c>
    </row>
    <row r="11" spans="1:5" ht="15.6" x14ac:dyDescent="0.3">
      <c r="A11" s="11" t="s">
        <v>70</v>
      </c>
      <c r="B11" s="12" t="s">
        <v>90</v>
      </c>
      <c r="C11" t="str">
        <f t="shared" si="0"/>
        <v>BHSP0089</v>
      </c>
      <c r="D11">
        <f>COUNTIFS([1]!Table1[[#All],[MDRM Item]],C11)</f>
        <v>1</v>
      </c>
    </row>
    <row r="12" spans="1:5" ht="15.6" x14ac:dyDescent="0.3">
      <c r="A12" s="11" t="s">
        <v>70</v>
      </c>
      <c r="B12" s="12" t="s">
        <v>91</v>
      </c>
      <c r="C12" t="str">
        <f t="shared" si="0"/>
        <v>BHSP3523</v>
      </c>
      <c r="D12">
        <f>COUNTIFS([1]!Table1[[#All],[MDRM Item]],C12)</f>
        <v>1</v>
      </c>
    </row>
    <row r="13" spans="1:5" ht="15.6" x14ac:dyDescent="0.3">
      <c r="A13" s="11" t="s">
        <v>70</v>
      </c>
      <c r="B13" s="12" t="s">
        <v>92</v>
      </c>
      <c r="C13" t="str">
        <f t="shared" si="0"/>
        <v>BHSP0027</v>
      </c>
      <c r="D13">
        <f>COUNTIFS([1]!Table1[[#All],[MDRM Item]],C13)</f>
        <v>1</v>
      </c>
    </row>
    <row r="14" spans="1:5" ht="15.6" x14ac:dyDescent="0.3">
      <c r="A14" s="11" t="s">
        <v>70</v>
      </c>
      <c r="B14" s="12" t="s">
        <v>93</v>
      </c>
      <c r="C14" t="str">
        <f t="shared" si="0"/>
        <v>BHSP3620</v>
      </c>
      <c r="D14">
        <f>COUNTIFS([1]!Table1[[#All],[MDRM Item]],C14)</f>
        <v>1</v>
      </c>
      <c r="E14" s="10"/>
    </row>
    <row r="15" spans="1:5" ht="15.6" x14ac:dyDescent="0.3">
      <c r="A15" s="11" t="s">
        <v>71</v>
      </c>
      <c r="B15" s="12" t="s">
        <v>80</v>
      </c>
      <c r="C15" t="str">
        <f t="shared" si="0"/>
        <v>BHCP5993</v>
      </c>
      <c r="D15">
        <f>COUNTIFS([1]!Table1[[#All],[MDRM Item]],C15)</f>
        <v>1</v>
      </c>
      <c r="E15" s="10"/>
    </row>
    <row r="16" spans="1:5" ht="15.6" x14ac:dyDescent="0.3">
      <c r="A16" s="11" t="s">
        <v>71</v>
      </c>
      <c r="B16" s="12" t="s">
        <v>94</v>
      </c>
      <c r="C16" t="str">
        <f t="shared" si="0"/>
        <v>BHCP0010</v>
      </c>
      <c r="D16">
        <f>COUNTIFS([1]!Table1[[#All],[MDRM Item]],C16)</f>
        <v>1</v>
      </c>
      <c r="E16" s="10"/>
    </row>
    <row r="17" spans="1:4" ht="15.6" x14ac:dyDescent="0.3">
      <c r="A17" s="11" t="s">
        <v>71</v>
      </c>
      <c r="B17" s="12" t="s">
        <v>95</v>
      </c>
      <c r="C17" t="str">
        <f t="shared" si="0"/>
        <v>BHCP0400</v>
      </c>
      <c r="D17">
        <f>COUNTIFS([1]!Table1[[#All],[MDRM Item]],C17)</f>
        <v>1</v>
      </c>
    </row>
    <row r="18" spans="1:4" ht="15.6" x14ac:dyDescent="0.3">
      <c r="A18" s="11" t="s">
        <v>71</v>
      </c>
      <c r="B18" s="12" t="s">
        <v>96</v>
      </c>
      <c r="C18" t="str">
        <f t="shared" si="0"/>
        <v>BHCP6791</v>
      </c>
      <c r="D18">
        <f>COUNTIFS([1]!Table1[[#All],[MDRM Item]],C18)</f>
        <v>1</v>
      </c>
    </row>
    <row r="19" spans="1:4" ht="15.6" x14ac:dyDescent="0.3">
      <c r="A19" s="11" t="s">
        <v>71</v>
      </c>
      <c r="B19" s="12" t="s">
        <v>97</v>
      </c>
      <c r="C19" t="str">
        <f t="shared" si="0"/>
        <v>BHCP1299</v>
      </c>
      <c r="D19">
        <f>COUNTIFS([1]!Table1[[#All],[MDRM Item]],C19)</f>
        <v>1</v>
      </c>
    </row>
    <row r="20" spans="1:4" ht="15.6" x14ac:dyDescent="0.3">
      <c r="A20" s="11" t="s">
        <v>71</v>
      </c>
      <c r="B20" s="12" t="s">
        <v>98</v>
      </c>
      <c r="C20" t="str">
        <f t="shared" si="0"/>
        <v>BHCP0277</v>
      </c>
      <c r="D20">
        <f>COUNTIFS([1]!Table1[[#All],[MDRM Item]],C20)</f>
        <v>1</v>
      </c>
    </row>
    <row r="21" spans="1:4" ht="15.6" x14ac:dyDescent="0.3">
      <c r="A21" s="11" t="s">
        <v>71</v>
      </c>
      <c r="B21" s="12" t="s">
        <v>99</v>
      </c>
      <c r="C21" t="str">
        <f t="shared" si="0"/>
        <v>BHCP0364</v>
      </c>
      <c r="D21">
        <f>COUNTIFS([1]!Table1[[#All],[MDRM Item]],C21)</f>
        <v>1</v>
      </c>
    </row>
    <row r="22" spans="1:4" ht="15.6" x14ac:dyDescent="0.3">
      <c r="A22" s="11" t="s">
        <v>71</v>
      </c>
      <c r="B22" s="12" t="s">
        <v>100</v>
      </c>
      <c r="C22" t="str">
        <f t="shared" si="0"/>
        <v>BHCP2125</v>
      </c>
      <c r="D22">
        <f>COUNTIFS([1]!Table1[[#All],[MDRM Item]],C22)</f>
        <v>1</v>
      </c>
    </row>
    <row r="23" spans="1:4" ht="15.6" x14ac:dyDescent="0.3">
      <c r="A23" s="11" t="s">
        <v>71</v>
      </c>
      <c r="B23" s="12" t="s">
        <v>101</v>
      </c>
      <c r="C23" t="str">
        <f t="shared" si="0"/>
        <v>BHCP0365</v>
      </c>
      <c r="D23">
        <f>COUNTIFS([1]!Table1[[#All],[MDRM Item]],C23)</f>
        <v>1</v>
      </c>
    </row>
    <row r="24" spans="1:4" ht="15.6" x14ac:dyDescent="0.3">
      <c r="A24" s="11" t="s">
        <v>71</v>
      </c>
      <c r="B24" s="12" t="s">
        <v>102</v>
      </c>
      <c r="C24" t="str">
        <f t="shared" si="0"/>
        <v>BHCP2145</v>
      </c>
      <c r="D24">
        <f>COUNTIFS([1]!Table1[[#All],[MDRM Item]],C24)</f>
        <v>1</v>
      </c>
    </row>
    <row r="25" spans="1:4" ht="15.6" x14ac:dyDescent="0.3">
      <c r="A25" s="11" t="s">
        <v>71</v>
      </c>
      <c r="B25" s="12" t="s">
        <v>103</v>
      </c>
      <c r="C25" t="str">
        <f t="shared" si="0"/>
        <v>BHCP3163</v>
      </c>
      <c r="D25">
        <f>COUNTIFS([1]!Table1[[#All],[MDRM Item]],C25)</f>
        <v>1</v>
      </c>
    </row>
    <row r="26" spans="1:4" ht="15.6" x14ac:dyDescent="0.3">
      <c r="A26" s="11" t="s">
        <v>71</v>
      </c>
      <c r="B26" s="12" t="s">
        <v>104</v>
      </c>
      <c r="C26" t="str">
        <f t="shared" si="0"/>
        <v>BHCP3164</v>
      </c>
      <c r="D26">
        <f>COUNTIFS([1]!Table1[[#All],[MDRM Item]],C26)</f>
        <v>1</v>
      </c>
    </row>
    <row r="27" spans="1:4" ht="15.6" x14ac:dyDescent="0.3">
      <c r="A27" s="11" t="s">
        <v>71</v>
      </c>
      <c r="B27" s="12" t="s">
        <v>105</v>
      </c>
      <c r="C27" t="str">
        <f t="shared" si="0"/>
        <v>BHCP3165</v>
      </c>
      <c r="D27">
        <f>COUNTIFS([1]!Table1[[#All],[MDRM Item]],C27)</f>
        <v>1</v>
      </c>
    </row>
    <row r="28" spans="1:4" ht="15.6" x14ac:dyDescent="0.3">
      <c r="A28" s="11" t="s">
        <v>71</v>
      </c>
      <c r="B28" s="12" t="s">
        <v>106</v>
      </c>
      <c r="C28" t="str">
        <f t="shared" si="0"/>
        <v>BHCP2160</v>
      </c>
      <c r="D28">
        <f>COUNTIFS([1]!Table1[[#All],[MDRM Item]],C28)</f>
        <v>1</v>
      </c>
    </row>
    <row r="29" spans="1:4" ht="15.6" x14ac:dyDescent="0.3">
      <c r="A29" s="11" t="s">
        <v>71</v>
      </c>
      <c r="B29" s="12" t="s">
        <v>107</v>
      </c>
      <c r="C29" t="str">
        <f t="shared" si="0"/>
        <v>BHCP3602</v>
      </c>
      <c r="D29">
        <f>COUNTIFS([1]!Table1[[#All],[MDRM Item]],C29)</f>
        <v>1</v>
      </c>
    </row>
    <row r="30" spans="1:4" ht="15.6" x14ac:dyDescent="0.3">
      <c r="A30" s="11" t="s">
        <v>71</v>
      </c>
      <c r="B30" s="12" t="s">
        <v>108</v>
      </c>
      <c r="C30" t="str">
        <f t="shared" si="0"/>
        <v>BHCP3603</v>
      </c>
      <c r="D30">
        <f>COUNTIFS([1]!Table1[[#All],[MDRM Item]],C30)</f>
        <v>1</v>
      </c>
    </row>
    <row r="31" spans="1:4" ht="15.6" x14ac:dyDescent="0.3">
      <c r="A31" s="11" t="s">
        <v>71</v>
      </c>
      <c r="B31" s="12" t="s">
        <v>109</v>
      </c>
      <c r="C31" t="str">
        <f t="shared" si="0"/>
        <v>BHCP3604</v>
      </c>
      <c r="D31">
        <f>COUNTIFS([1]!Table1[[#All],[MDRM Item]],C31)</f>
        <v>1</v>
      </c>
    </row>
    <row r="32" spans="1:4" ht="15.6" x14ac:dyDescent="0.3">
      <c r="A32" s="11" t="s">
        <v>71</v>
      </c>
      <c r="B32" s="12" t="s">
        <v>110</v>
      </c>
      <c r="C32" t="str">
        <f t="shared" si="0"/>
        <v>BHCP2170</v>
      </c>
      <c r="D32">
        <f>COUNTIFS([1]!Table1[[#All],[MDRM Item]],C32)</f>
        <v>1</v>
      </c>
    </row>
    <row r="33" spans="1:4" ht="15.6" x14ac:dyDescent="0.3">
      <c r="A33" s="11" t="s">
        <v>69</v>
      </c>
      <c r="B33" s="12" t="s">
        <v>111</v>
      </c>
      <c r="C33" t="str">
        <f t="shared" ref="C33:C64" si="1">_xlfn.CONCAT(A33:B33)</f>
        <v>BHCK0081</v>
      </c>
      <c r="D33">
        <f>COUNTIFS([1]!Table1[[#All],[MDRM Item]],C33)</f>
        <v>1</v>
      </c>
    </row>
    <row r="34" spans="1:4" ht="15.6" x14ac:dyDescent="0.3">
      <c r="A34" s="11" t="s">
        <v>69</v>
      </c>
      <c r="B34" s="12" t="s">
        <v>112</v>
      </c>
      <c r="C34" t="str">
        <f t="shared" si="1"/>
        <v>BHCK0395</v>
      </c>
      <c r="D34">
        <f>COUNTIFS([1]!Table1[[#All],[MDRM Item]],C34)</f>
        <v>1</v>
      </c>
    </row>
    <row r="35" spans="1:4" ht="15.6" x14ac:dyDescent="0.3">
      <c r="A35" s="11" t="s">
        <v>69</v>
      </c>
      <c r="B35" s="12" t="s">
        <v>113</v>
      </c>
      <c r="C35" t="str">
        <f t="shared" si="1"/>
        <v>BHCK0397</v>
      </c>
      <c r="D35">
        <f>COUNTIFS([1]!Table1[[#All],[MDRM Item]],C35)</f>
        <v>1</v>
      </c>
    </row>
    <row r="36" spans="1:4" ht="15.6" x14ac:dyDescent="0.3">
      <c r="A36" s="11" t="s">
        <v>69</v>
      </c>
      <c r="B36" s="12" t="s">
        <v>114</v>
      </c>
      <c r="C36" t="str">
        <f t="shared" si="1"/>
        <v>BHCK1754</v>
      </c>
      <c r="D36">
        <f>COUNTIFS([1]!Table1[[#All],[MDRM Item]],C36)</f>
        <v>1</v>
      </c>
    </row>
    <row r="37" spans="1:4" ht="15.6" x14ac:dyDescent="0.3">
      <c r="A37" s="11" t="s">
        <v>69</v>
      </c>
      <c r="B37" s="12" t="s">
        <v>115</v>
      </c>
      <c r="C37" t="str">
        <f t="shared" si="1"/>
        <v>BHCK1773</v>
      </c>
      <c r="D37">
        <f>COUNTIFS([1]!Table1[[#All],[MDRM Item]],C37)</f>
        <v>1</v>
      </c>
    </row>
    <row r="38" spans="1:4" ht="15.6" x14ac:dyDescent="0.3">
      <c r="A38" s="11" t="s">
        <v>69</v>
      </c>
      <c r="B38" s="12" t="s">
        <v>116</v>
      </c>
      <c r="C38" t="str">
        <f t="shared" si="1"/>
        <v>BHCKJA22</v>
      </c>
      <c r="D38">
        <f>COUNTIFS([1]!Table1[[#All],[MDRM Item]],C38)</f>
        <v>1</v>
      </c>
    </row>
    <row r="39" spans="1:4" ht="15.6" x14ac:dyDescent="0.3">
      <c r="A39" s="11" t="s">
        <v>79</v>
      </c>
      <c r="B39" s="12" t="s">
        <v>117</v>
      </c>
      <c r="C39" t="str">
        <f t="shared" si="1"/>
        <v>BHDMB987</v>
      </c>
      <c r="D39">
        <f>COUNTIFS([1]!Table1[[#All],[MDRM Item]],C39)</f>
        <v>1</v>
      </c>
    </row>
    <row r="40" spans="1:4" ht="15.6" x14ac:dyDescent="0.3">
      <c r="A40" s="11" t="s">
        <v>69</v>
      </c>
      <c r="B40" s="12" t="s">
        <v>118</v>
      </c>
      <c r="C40" t="str">
        <f t="shared" si="1"/>
        <v>BHCKB989</v>
      </c>
      <c r="D40">
        <f>COUNTIFS([1]!Table1[[#All],[MDRM Item]],C40)</f>
        <v>1</v>
      </c>
    </row>
    <row r="41" spans="1:4" ht="15.6" x14ac:dyDescent="0.3">
      <c r="A41" s="11" t="s">
        <v>69</v>
      </c>
      <c r="B41" s="12" t="s">
        <v>119</v>
      </c>
      <c r="C41" t="str">
        <f t="shared" si="1"/>
        <v>BHCKB529</v>
      </c>
      <c r="D41">
        <f>COUNTIFS([1]!Table1[[#All],[MDRM Item]],C41)</f>
        <v>1</v>
      </c>
    </row>
    <row r="42" spans="1:4" ht="15.6" x14ac:dyDescent="0.3">
      <c r="A42" s="11" t="s">
        <v>69</v>
      </c>
      <c r="B42" s="12" t="s">
        <v>120</v>
      </c>
      <c r="C42" t="str">
        <f t="shared" si="1"/>
        <v>BHCK3545</v>
      </c>
      <c r="D42">
        <f>COUNTIFS([1]!Table1[[#All],[MDRM Item]],C42)</f>
        <v>1</v>
      </c>
    </row>
    <row r="43" spans="1:4" ht="15.6" x14ac:dyDescent="0.3">
      <c r="A43" s="11" t="s">
        <v>69</v>
      </c>
      <c r="B43" s="12" t="s">
        <v>102</v>
      </c>
      <c r="C43" t="str">
        <f t="shared" si="1"/>
        <v>BHCK2145</v>
      </c>
      <c r="D43">
        <f>COUNTIFS([1]!Table1[[#All],[MDRM Item]],C43)</f>
        <v>1</v>
      </c>
    </row>
    <row r="44" spans="1:4" ht="15.6" x14ac:dyDescent="0.3">
      <c r="A44" s="11" t="s">
        <v>69</v>
      </c>
      <c r="B44" s="12" t="s">
        <v>121</v>
      </c>
      <c r="C44" t="str">
        <f t="shared" si="1"/>
        <v>BHCK2150</v>
      </c>
      <c r="D44">
        <f>COUNTIFS([1]!Table1[[#All],[MDRM Item]],C44)</f>
        <v>1</v>
      </c>
    </row>
    <row r="45" spans="1:4" ht="15.6" x14ac:dyDescent="0.3">
      <c r="A45" s="11" t="s">
        <v>69</v>
      </c>
      <c r="B45" s="12" t="s">
        <v>122</v>
      </c>
      <c r="C45" t="str">
        <f t="shared" si="1"/>
        <v>BHCK2130</v>
      </c>
      <c r="D45">
        <f>COUNTIFS([1]!Table1[[#All],[MDRM Item]],C45)</f>
        <v>1</v>
      </c>
    </row>
    <row r="46" spans="1:4" ht="15.6" x14ac:dyDescent="0.3">
      <c r="A46" s="11" t="s">
        <v>69</v>
      </c>
      <c r="B46" s="12" t="s">
        <v>123</v>
      </c>
      <c r="C46" t="str">
        <f t="shared" si="1"/>
        <v>BHCK3656</v>
      </c>
      <c r="D46">
        <f>COUNTIFS([1]!Table1[[#All],[MDRM Item]],C46)</f>
        <v>1</v>
      </c>
    </row>
    <row r="47" spans="1:4" ht="15.6" x14ac:dyDescent="0.3">
      <c r="A47" s="11" t="s">
        <v>69</v>
      </c>
      <c r="B47" s="12" t="s">
        <v>124</v>
      </c>
      <c r="C47" t="str">
        <f t="shared" si="1"/>
        <v>BHCK2143</v>
      </c>
      <c r="D47">
        <f>COUNTIFS([1]!Table1[[#All],[MDRM Item]],C47)</f>
        <v>1</v>
      </c>
    </row>
    <row r="48" spans="1:4" ht="15.6" x14ac:dyDescent="0.3">
      <c r="A48" s="13" t="s">
        <v>69</v>
      </c>
      <c r="B48" s="12" t="s">
        <v>106</v>
      </c>
      <c r="C48" t="str">
        <f t="shared" si="1"/>
        <v>BHCK2160</v>
      </c>
      <c r="D48">
        <f>COUNTIFS([1]!Table1[[#All],[MDRM Item]],C48)</f>
        <v>1</v>
      </c>
    </row>
    <row r="49" spans="1:4" ht="15.6" x14ac:dyDescent="0.3">
      <c r="A49" s="14" t="s">
        <v>71</v>
      </c>
      <c r="B49" s="12">
        <v>3238</v>
      </c>
      <c r="C49" t="str">
        <f t="shared" si="1"/>
        <v>BHCP3238</v>
      </c>
      <c r="D49">
        <f>COUNTIFS([1]!Table1[[#All],[MDRM Item]],C49)</f>
        <v>1</v>
      </c>
    </row>
    <row r="50" spans="1:4" ht="15.6" x14ac:dyDescent="0.3">
      <c r="A50" s="14" t="s">
        <v>71</v>
      </c>
      <c r="B50" s="12" t="s">
        <v>125</v>
      </c>
      <c r="C50" t="str">
        <f t="shared" si="1"/>
        <v>BHCP4485</v>
      </c>
      <c r="D50">
        <f>COUNTIFS([1]!Table1[[#All],[MDRM Item]],C50)</f>
        <v>1</v>
      </c>
    </row>
    <row r="51" spans="1:4" ht="15.6" x14ac:dyDescent="0.3">
      <c r="A51" s="14" t="s">
        <v>71</v>
      </c>
      <c r="B51" s="12" t="s">
        <v>87</v>
      </c>
      <c r="C51" t="str">
        <f t="shared" si="1"/>
        <v>BHCP0087</v>
      </c>
      <c r="D51">
        <f>COUNTIFS([1]!Table1[[#All],[MDRM Item]],C51)</f>
        <v>1</v>
      </c>
    </row>
    <row r="52" spans="1:4" ht="15.6" x14ac:dyDescent="0.3">
      <c r="A52" s="14" t="s">
        <v>71</v>
      </c>
      <c r="B52" s="12" t="s">
        <v>126</v>
      </c>
      <c r="C52" t="str">
        <f t="shared" si="1"/>
        <v>BHCP0536</v>
      </c>
      <c r="D52">
        <f>COUNTIFS([1]!Table1[[#All],[MDRM Item]],C52)</f>
        <v>1</v>
      </c>
    </row>
    <row r="53" spans="1:4" ht="15.6" x14ac:dyDescent="0.3">
      <c r="A53" s="14" t="s">
        <v>71</v>
      </c>
      <c r="B53" s="12" t="s">
        <v>86</v>
      </c>
      <c r="C53" t="str">
        <f t="shared" si="1"/>
        <v>BHCP0202</v>
      </c>
      <c r="D53">
        <f>COUNTIFS([1]!Table1[[#All],[MDRM Item]],C53)</f>
        <v>1</v>
      </c>
    </row>
    <row r="54" spans="1:4" ht="15.6" x14ac:dyDescent="0.3">
      <c r="A54" s="14" t="s">
        <v>71</v>
      </c>
      <c r="B54" s="12" t="s">
        <v>127</v>
      </c>
      <c r="C54" t="str">
        <f t="shared" si="1"/>
        <v>BHCP0203</v>
      </c>
      <c r="D54">
        <f>COUNTIFS([1]!Table1[[#All],[MDRM Item]],C54)</f>
        <v>1</v>
      </c>
    </row>
    <row r="55" spans="1:4" ht="15.6" x14ac:dyDescent="0.3">
      <c r="A55" s="14" t="s">
        <v>69</v>
      </c>
      <c r="B55" s="12">
        <v>3164</v>
      </c>
      <c r="C55" t="str">
        <f t="shared" si="1"/>
        <v>BHCK3164</v>
      </c>
      <c r="D55">
        <f>COUNTIFS([1]!Table1[[#All],[MDRM Item]],C55)</f>
        <v>1</v>
      </c>
    </row>
    <row r="56" spans="1:4" ht="15.6" x14ac:dyDescent="0.3">
      <c r="A56" s="12" t="s">
        <v>70</v>
      </c>
      <c r="B56" s="12" t="s">
        <v>128</v>
      </c>
      <c r="C56" t="str">
        <f t="shared" si="1"/>
        <v>BHSP3621</v>
      </c>
      <c r="D56">
        <f>COUNTIFS([1]!Table1[[#All],[MDRM Item]],C56)</f>
        <v>1</v>
      </c>
    </row>
    <row r="57" spans="1:4" ht="15.6" x14ac:dyDescent="0.3">
      <c r="A57" s="12" t="s">
        <v>70</v>
      </c>
      <c r="B57" s="12" t="s">
        <v>129</v>
      </c>
      <c r="C57" t="str">
        <f t="shared" si="1"/>
        <v>BHSP3605</v>
      </c>
      <c r="D57">
        <f>COUNTIFS([1]!Table1[[#All],[MDRM Item]],C57)</f>
        <v>1</v>
      </c>
    </row>
    <row r="58" spans="1:4" ht="15.6" x14ac:dyDescent="0.3">
      <c r="A58" s="14" t="s">
        <v>71</v>
      </c>
      <c r="B58" s="12" t="s">
        <v>130</v>
      </c>
      <c r="C58" t="str">
        <f t="shared" si="1"/>
        <v>BHCPJJ33</v>
      </c>
      <c r="D58">
        <f>COUNTIFS([1]!Table1[[#All],[MDRM Item]],C58)</f>
        <v>1</v>
      </c>
    </row>
    <row r="59" spans="1:4" ht="15.6" x14ac:dyDescent="0.3">
      <c r="A59" s="12" t="s">
        <v>70</v>
      </c>
      <c r="B59" s="12" t="s">
        <v>131</v>
      </c>
      <c r="C59" t="str">
        <f t="shared" si="1"/>
        <v>BHSP4093</v>
      </c>
      <c r="D59">
        <f>COUNTIFS([1]!Table1[[#All],[MDRM Item]],C59)</f>
        <v>1</v>
      </c>
    </row>
    <row r="60" spans="1:4" ht="15.6" x14ac:dyDescent="0.3">
      <c r="A60" s="12" t="s">
        <v>137</v>
      </c>
      <c r="B60" s="12" t="s">
        <v>132</v>
      </c>
      <c r="C60" t="str">
        <f t="shared" si="1"/>
        <v>BHCT4230</v>
      </c>
      <c r="D60">
        <f>COUNTIFS([1]!Table1[[#All],[MDRM Item]],C60)</f>
        <v>1</v>
      </c>
    </row>
    <row r="61" spans="1:4" ht="15.6" x14ac:dyDescent="0.3">
      <c r="A61" s="12" t="s">
        <v>71</v>
      </c>
      <c r="B61" s="12" t="s">
        <v>133</v>
      </c>
      <c r="C61" t="str">
        <f t="shared" si="1"/>
        <v>BHCP4250</v>
      </c>
      <c r="D61">
        <f>COUNTIFS([1]!Table1[[#All],[MDRM Item]],C61)</f>
        <v>1</v>
      </c>
    </row>
    <row r="62" spans="1:4" ht="15.6" x14ac:dyDescent="0.3">
      <c r="A62" s="12" t="s">
        <v>70</v>
      </c>
      <c r="B62" s="12" t="s">
        <v>133</v>
      </c>
      <c r="C62" t="str">
        <f t="shared" si="1"/>
        <v>BHSP4250</v>
      </c>
      <c r="D62">
        <f>COUNTIFS([1]!Table1[[#All],[MDRM Item]],C62)</f>
        <v>1</v>
      </c>
    </row>
    <row r="63" spans="1:4" ht="15.6" x14ac:dyDescent="0.3">
      <c r="A63" s="12" t="s">
        <v>69</v>
      </c>
      <c r="B63" s="12" t="s">
        <v>134</v>
      </c>
      <c r="C63" t="str">
        <f t="shared" si="1"/>
        <v>BHCK4301</v>
      </c>
      <c r="D63">
        <f>COUNTIFS([1]!Table1[[#All],[MDRM Item]],C63)</f>
        <v>1</v>
      </c>
    </row>
    <row r="64" spans="1:4" ht="15.6" x14ac:dyDescent="0.3">
      <c r="A64" s="12" t="s">
        <v>71</v>
      </c>
      <c r="B64" s="12" t="s">
        <v>135</v>
      </c>
      <c r="C64" t="str">
        <f t="shared" si="1"/>
        <v>BHCP3210</v>
      </c>
      <c r="D64">
        <f>COUNTIFS([1]!Table1[[#All],[MDRM Item]],C64)</f>
        <v>1</v>
      </c>
    </row>
    <row r="65" spans="1:4" ht="15.6" x14ac:dyDescent="0.3">
      <c r="A65" s="12" t="s">
        <v>70</v>
      </c>
      <c r="B65" s="12" t="s">
        <v>135</v>
      </c>
      <c r="C65" t="str">
        <f t="shared" ref="C65:C68" si="2">_xlfn.CONCAT(A65:B65)</f>
        <v>BHSP3210</v>
      </c>
      <c r="D65">
        <f>COUNTIFS([1]!Table1[[#All],[MDRM Item]],C65)</f>
        <v>1</v>
      </c>
    </row>
    <row r="66" spans="1:4" ht="15.6" x14ac:dyDescent="0.3">
      <c r="A66" s="12" t="s">
        <v>69</v>
      </c>
      <c r="B66" s="12" t="s">
        <v>136</v>
      </c>
      <c r="C66" t="str">
        <f t="shared" si="2"/>
        <v>BHCKG105</v>
      </c>
      <c r="D66">
        <f>COUNTIFS([1]!Table1[[#All],[MDRM Item]],C66)</f>
        <v>1</v>
      </c>
    </row>
    <row r="67" spans="1:4" ht="15.6" x14ac:dyDescent="0.3">
      <c r="A67" s="12" t="s">
        <v>70</v>
      </c>
      <c r="B67" s="12" t="s">
        <v>110</v>
      </c>
      <c r="C67" t="str">
        <f t="shared" si="2"/>
        <v>BHSP2170</v>
      </c>
      <c r="D67">
        <f>COUNTIFS([1]!Table1[[#All],[MDRM Item]],C67)</f>
        <v>1</v>
      </c>
    </row>
    <row r="68" spans="1:4" ht="15.6" x14ac:dyDescent="0.3">
      <c r="A68" s="12" t="s">
        <v>69</v>
      </c>
      <c r="B68" s="12" t="s">
        <v>110</v>
      </c>
      <c r="C68" t="str">
        <f t="shared" si="2"/>
        <v>BHCK2170</v>
      </c>
      <c r="D68">
        <f>COUNTIFS([1]!Table1[[#All],[MDRM Item]],C68)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report_assets</vt:lpstr>
      <vt:lpstr>bis_info</vt:lpstr>
      <vt:lpstr>all_cols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Franco</dc:creator>
  <cp:lastModifiedBy>João Franco</cp:lastModifiedBy>
  <dcterms:created xsi:type="dcterms:W3CDTF">2025-11-19T21:46:00Z</dcterms:created>
  <dcterms:modified xsi:type="dcterms:W3CDTF">2025-11-24T17:08:40Z</dcterms:modified>
</cp:coreProperties>
</file>